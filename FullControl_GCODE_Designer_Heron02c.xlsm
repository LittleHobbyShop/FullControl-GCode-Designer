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microsoft.com/office/2007/relationships/ui/extensibility" Target="/customUI/customUI14.xml" Id="R25158bc0c5894d6b" /><Relationship Type="http://schemas.microsoft.com/office/2006/relationships/ui/extensibility" Target="/customUI/customUI.xml" Id="R783cdb51592a435a"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wsag2\Downloads\"/>
    </mc:Choice>
  </mc:AlternateContent>
  <xr:revisionPtr revIDLastSave="0" documentId="13_ncr:1_{29672FFA-4A3C-467C-B739-3A312803C0BA}" xr6:coauthVersionLast="46" xr6:coauthVersionMax="46" xr10:uidLastSave="{00000000-0000-0000-0000-000000000000}"/>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<sst xmlns="http://schemas.openxmlformats.org/spreadsheetml/2006/main" count="2585" uniqueCount="876">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</sst>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xf numFmtId="0" fontId="0" fillId="0" borderId="0" xfId="0" applyFont="1"/>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485930" cy="2023850"/>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B8" sqref="B8"/>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1"/>
      <c r="C1" s="142"/>
      <c r="D1" s="142"/>
      <c r="E1" s="142"/>
      <c r="F1" s="142"/>
      <c r="G1" s="86"/>
      <c r="L1" s="87"/>
      <c r="S1" s="88"/>
    </row>
    <row r="2" spans="1:40" s="85" customFormat="1" x14ac:dyDescent="0.25">
      <c r="C2" s="87"/>
      <c r="E2" s="87"/>
    </row>
    <row r="3" spans="1:40" x14ac:dyDescent="0.25">
      <c r="F3" s="82"/>
      <c r="H3" s="83"/>
      <c r="I3" s="80" t="s">
        <v>627</v>
      </c>
      <c r="M3" s="83"/>
      <c r="O3" s="83"/>
    </row>
    <row r="4" spans="1:40" x14ac:dyDescent="0.25">
      <c r="M4" s="84"/>
    </row>
    <row r="5" spans="1:40" x14ac:dyDescent="0.25">
      <c r="T5" s="94" t="s">
        <v>164</v>
      </c>
      <c r="U5" s="93">
        <f>COUNTA(RecycleBin!#REF!)</f>
        <v>1</v>
      </c>
      <c r="V5" s="85"/>
    </row>
    <row r="6" spans="1:40" s="81" customFormat="1" x14ac:dyDescent="0.25">
      <c r="A6" s="58" t="s">
        <v>162</v>
      </c>
      <c r="B6" s="2" t="s">
        <v>860</v>
      </c>
      <c r="C6" s="58" t="s">
        <v>161</v>
      </c>
      <c r="D6" s="2" t="s">
        <v>862</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25">
      <c r="A8" s="2">
        <v>1</v>
      </c>
      <c r="B8" s="2" t="s">
        <v>859</v>
      </c>
      <c r="C8" s="2"/>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c r="C9" s="2"/>
      <c r="D9" s="2"/>
      <c r="E9" s="2"/>
      <c r="F9" s="2"/>
      <c r="G9" s="2"/>
      <c r="H9" s="2"/>
      <c r="I9" s="2"/>
      <c r="J9" s="2"/>
      <c r="K9" s="2"/>
      <c r="L9" s="2"/>
      <c r="M9" s="2"/>
      <c r="N9" s="2"/>
      <c r="O9" s="2"/>
      <c r="P9" s="2"/>
      <c r="Q9" s="2"/>
      <c r="R9"/>
      <c r="S9" s="5" t="s">
        <v>115</v>
      </c>
      <c r="T9" s="5">
        <v>0.2</v>
      </c>
      <c r="U9" s="5" t="s">
        <v>44</v>
      </c>
      <c r="V9"/>
      <c r="W9"/>
      <c r="X9"/>
      <c r="Y9"/>
      <c r="Z9"/>
      <c r="AA9"/>
      <c r="AB9"/>
      <c r="AC9"/>
      <c r="AD9"/>
      <c r="AE9"/>
      <c r="AF9"/>
      <c r="AG9"/>
      <c r="AH9"/>
      <c r="AI9"/>
      <c r="AJ9"/>
      <c r="AK9"/>
      <c r="AL9"/>
      <c r="AM9"/>
      <c r="AN9"/>
    </row>
    <row r="10" spans="1:40" s="81" customFormat="1" x14ac:dyDescent="0.25">
      <c r="A10" s="2">
        <v>3</v>
      </c>
      <c r="B10" s="2" t="s">
        <v>861</v>
      </c>
      <c r="C10" s="2"/>
      <c r="D10" s="2"/>
      <c r="E10" s="2"/>
      <c r="F10" s="2"/>
      <c r="G10" s="2"/>
      <c r="H10" s="2"/>
      <c r="I10" s="2"/>
      <c r="J10" s="2"/>
      <c r="K10" s="2"/>
      <c r="L10" s="2"/>
      <c r="M10" s="2"/>
      <c r="N10" s="2"/>
      <c r="O10" s="2"/>
      <c r="P10" s="2"/>
      <c r="Q10" s="2"/>
      <c r="R10"/>
      <c r="S10" s="5" t="s">
        <v>88</v>
      </c>
      <c r="T10" s="5">
        <v>1</v>
      </c>
      <c r="U10" s="5" t="s">
        <v>90</v>
      </c>
      <c r="V10"/>
      <c r="W10"/>
      <c r="X10"/>
      <c r="Y10"/>
      <c r="Z10"/>
      <c r="AA10"/>
      <c r="AB10"/>
      <c r="AC10"/>
      <c r="AD10"/>
      <c r="AE10"/>
      <c r="AF10"/>
      <c r="AG10"/>
      <c r="AH10"/>
      <c r="AI10"/>
      <c r="AJ10"/>
      <c r="AK10"/>
      <c r="AL10"/>
      <c r="AM10"/>
      <c r="AN10"/>
    </row>
    <row r="11" spans="1:40" s="81" customFormat="1" x14ac:dyDescent="0.25">
      <c r="A11" s="2">
        <v>4</v>
      </c>
      <c r="B11" s="2"/>
      <c r="C11" s="2"/>
      <c r="D11" s="2"/>
      <c r="E11" s="2"/>
      <c r="F11" s="2"/>
      <c r="G11" s="2"/>
      <c r="H11" s="2"/>
      <c r="I11" s="2"/>
      <c r="J11" s="2"/>
      <c r="K11" s="2"/>
      <c r="L11" s="2"/>
      <c r="M11" s="2"/>
      <c r="N11" s="2"/>
      <c r="O11" s="2"/>
      <c r="P11" s="2"/>
      <c r="Q11" s="2"/>
      <c r="R11"/>
      <c r="S11" s="5" t="s">
        <v>89</v>
      </c>
      <c r="T11" s="5">
        <v>1</v>
      </c>
      <c r="U11" s="5" t="s">
        <v>90</v>
      </c>
      <c r="V11"/>
      <c r="W11"/>
      <c r="X11"/>
      <c r="Y11"/>
      <c r="Z11"/>
      <c r="AA11"/>
      <c r="AB11"/>
      <c r="AC11"/>
      <c r="AD11"/>
      <c r="AE11"/>
      <c r="AF11"/>
      <c r="AG11"/>
      <c r="AH11"/>
      <c r="AI11"/>
      <c r="AJ11"/>
      <c r="AK11"/>
      <c r="AL11"/>
      <c r="AM11"/>
      <c r="AN11"/>
    </row>
    <row r="12" spans="1:40" s="81" customFormat="1" x14ac:dyDescent="0.25">
      <c r="A12" s="2">
        <v>5</v>
      </c>
      <c r="B12" s="2"/>
      <c r="C12" s="2"/>
      <c r="D12" s="2"/>
      <c r="E12" s="2"/>
      <c r="F12" s="2"/>
      <c r="G12" s="2"/>
      <c r="H12" s="2"/>
      <c r="I12" s="2"/>
      <c r="J12" s="2"/>
      <c r="K12" s="2"/>
      <c r="L12" s="2"/>
      <c r="M12" s="2"/>
      <c r="N12" s="2"/>
      <c r="O12" s="2"/>
      <c r="P12" s="2"/>
      <c r="Q12" s="2"/>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25">
      <c r="A13" s="2">
        <v>6</v>
      </c>
      <c r="B13" s="2"/>
      <c r="C13" s="2"/>
      <c r="D13" s="2"/>
      <c r="E13" s="2"/>
      <c r="F13" s="2"/>
      <c r="G13" s="2"/>
      <c r="H13" s="2"/>
      <c r="I13" s="2"/>
      <c r="J13" s="2"/>
      <c r="K13" s="2"/>
      <c r="L13" s="2"/>
      <c r="M13" s="2"/>
      <c r="N13" s="2"/>
      <c r="O13" s="2"/>
      <c r="P13" s="2"/>
      <c r="Q13" s="2"/>
      <c r="R13"/>
      <c r="S13" s="5" t="s">
        <v>227</v>
      </c>
      <c r="T13" s="5">
        <v>0</v>
      </c>
      <c r="U13" s="5"/>
      <c r="V13"/>
      <c r="W13"/>
      <c r="X13"/>
      <c r="Y13"/>
      <c r="Z13"/>
      <c r="AA13"/>
      <c r="AB13"/>
      <c r="AC13"/>
      <c r="AD13"/>
      <c r="AE13"/>
      <c r="AF13"/>
      <c r="AG13"/>
      <c r="AH13"/>
      <c r="AI13"/>
      <c r="AJ13"/>
      <c r="AK13"/>
      <c r="AL13"/>
      <c r="AM13"/>
      <c r="AN13"/>
    </row>
    <row r="14" spans="1:40" s="81" customFormat="1" x14ac:dyDescent="0.25">
      <c r="A14" s="2">
        <v>7</v>
      </c>
      <c r="B14" s="2"/>
      <c r="C14" s="2"/>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c r="C15" s="2"/>
      <c r="D15" s="2"/>
      <c r="E15" s="2"/>
      <c r="F15" s="2"/>
      <c r="G15" s="2"/>
      <c r="H15" s="2"/>
      <c r="I15" s="2"/>
      <c r="J15" s="2"/>
      <c r="K15" s="2"/>
      <c r="L15" s="2"/>
      <c r="M15" s="2"/>
      <c r="N15" s="2"/>
      <c r="O15" s="2"/>
      <c r="P15" s="2"/>
      <c r="Q15" s="2"/>
      <c r="R15"/>
      <c r="S15" s="5" t="s">
        <v>371</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c r="C16" s="2"/>
      <c r="D16" s="2"/>
      <c r="E16" s="2"/>
      <c r="F16" s="2"/>
      <c r="G16" s="2"/>
      <c r="H16" s="2"/>
      <c r="I16" s="2"/>
      <c r="J16" s="2"/>
      <c r="K16" s="2"/>
      <c r="L16" s="2"/>
      <c r="M16" s="2"/>
      <c r="N16" s="2"/>
      <c r="O16" s="2"/>
      <c r="P16" s="2"/>
      <c r="Q16" s="2"/>
      <c r="R16"/>
      <c r="S16" s="5" t="s">
        <v>86</v>
      </c>
      <c r="T16" s="5">
        <v>1000</v>
      </c>
      <c r="U16" s="5" t="s">
        <v>45</v>
      </c>
      <c r="V16"/>
      <c r="W16"/>
      <c r="X16"/>
      <c r="Y16"/>
      <c r="Z16"/>
      <c r="AA16"/>
      <c r="AB16"/>
      <c r="AC16"/>
      <c r="AD16"/>
      <c r="AE16"/>
      <c r="AF16"/>
      <c r="AG16"/>
      <c r="AH16"/>
      <c r="AI16"/>
      <c r="AJ16"/>
      <c r="AK16"/>
      <c r="AL16"/>
      <c r="AM16"/>
      <c r="AN16"/>
    </row>
    <row r="17" spans="1:40" s="81" customFormat="1" x14ac:dyDescent="0.25">
      <c r="A17" s="2">
        <v>10</v>
      </c>
      <c r="B17" s="2"/>
      <c r="C17" s="2"/>
      <c r="D17" s="2"/>
      <c r="E17" s="2"/>
      <c r="F17" s="2"/>
      <c r="G17" s="2"/>
      <c r="H17" s="2"/>
      <c r="I17" s="2"/>
      <c r="J17" s="2"/>
      <c r="K17" s="2"/>
      <c r="L17" s="2"/>
      <c r="M17" s="2"/>
      <c r="N17" s="2"/>
      <c r="O17" s="2"/>
      <c r="P17" s="2"/>
      <c r="Q17" s="2"/>
      <c r="R17"/>
      <c r="S17" s="5" t="s">
        <v>87</v>
      </c>
      <c r="T17" s="5">
        <v>9000</v>
      </c>
      <c r="U17" s="5" t="s">
        <v>45</v>
      </c>
      <c r="V17"/>
      <c r="W17"/>
      <c r="X17"/>
      <c r="Y17"/>
      <c r="Z17"/>
      <c r="AA17"/>
      <c r="AB17"/>
      <c r="AC17"/>
      <c r="AD17"/>
      <c r="AE17"/>
      <c r="AF17"/>
      <c r="AG17"/>
      <c r="AH17"/>
      <c r="AI17"/>
      <c r="AJ17"/>
      <c r="AK17"/>
      <c r="AL17"/>
      <c r="AM17"/>
      <c r="AN17"/>
    </row>
    <row r="18" spans="1:40" s="81" customFormat="1" x14ac:dyDescent="0.25">
      <c r="A18" s="2">
        <v>11</v>
      </c>
      <c r="B18" s="2"/>
      <c r="C18" s="2"/>
      <c r="D18" s="2"/>
      <c r="E18" s="2"/>
      <c r="F18" s="2"/>
      <c r="G18" s="2"/>
      <c r="H18" s="2"/>
      <c r="I18" s="2"/>
      <c r="J18" s="2"/>
      <c r="K18" s="2"/>
      <c r="L18" s="2"/>
      <c r="M18" s="2"/>
      <c r="N18" s="2"/>
      <c r="O18" s="2"/>
      <c r="P18" s="2"/>
      <c r="Q18" s="2"/>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2"/>
      <c r="C19" s="2"/>
      <c r="D19" s="2"/>
      <c r="E19" s="2"/>
      <c r="F19" s="2"/>
      <c r="G19" s="2"/>
      <c r="H19" s="2"/>
      <c r="I19" s="2"/>
      <c r="J19" s="2"/>
      <c r="K19" s="2"/>
      <c r="L19" s="2"/>
      <c r="M19" s="2"/>
      <c r="N19" s="2"/>
      <c r="O19" s="2"/>
      <c r="P19" s="2"/>
      <c r="Q19" s="2"/>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2"/>
      <c r="C20" s="2"/>
      <c r="D20" s="2"/>
      <c r="E20" s="2"/>
      <c r="F20" s="2"/>
      <c r="G20" s="2"/>
      <c r="H20" s="2"/>
      <c r="I20" s="2"/>
      <c r="J20" s="2"/>
      <c r="K20" s="2"/>
      <c r="L20" s="2"/>
      <c r="M20" s="2"/>
      <c r="N20" s="2"/>
      <c r="O20" s="2"/>
      <c r="P20" s="2"/>
      <c r="Q20" s="2"/>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c r="C21" s="2"/>
      <c r="D21" s="2"/>
      <c r="E21" s="2"/>
      <c r="F21" s="2"/>
      <c r="G21" s="2"/>
      <c r="H21" s="2"/>
      <c r="I21" s="2"/>
      <c r="J21" s="2"/>
      <c r="K21" s="2"/>
      <c r="L21" s="2"/>
      <c r="M21" s="2"/>
      <c r="N21" s="2"/>
      <c r="O21" s="2"/>
      <c r="P21" s="2"/>
      <c r="Q21" s="2"/>
      <c r="R21"/>
      <c r="S21" s="5" t="s">
        <v>125</v>
      </c>
      <c r="T21" s="122" t="s">
        <v>186</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25">
      <c r="A22" s="2">
        <v>15</v>
      </c>
      <c r="B22" s="2"/>
      <c r="C22" s="2"/>
      <c r="D22" s="2"/>
      <c r="E22" s="2"/>
      <c r="F22" s="2"/>
      <c r="G22" s="2"/>
      <c r="H22" s="2"/>
      <c r="I22" s="2"/>
      <c r="J22" s="2"/>
      <c r="K22" s="2"/>
      <c r="L22" s="2"/>
      <c r="M22" s="2"/>
      <c r="N22" s="2"/>
      <c r="O22" s="2"/>
      <c r="P22" s="2"/>
      <c r="Q22" s="2"/>
      <c r="R22"/>
      <c r="S22" s="5" t="s">
        <v>185</v>
      </c>
      <c r="T22" s="122" t="s">
        <v>156</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25">
      <c r="A23" s="29"/>
      <c r="B23" s="29"/>
      <c r="C23" s="29"/>
      <c r="D23" s="29"/>
      <c r="E23" s="29"/>
      <c r="F23" s="29"/>
      <c r="G23" s="29"/>
      <c r="H23" s="29"/>
      <c r="I23" s="29"/>
      <c r="J23" s="29"/>
      <c r="K23" s="29"/>
      <c r="L23" s="29"/>
      <c r="M23" s="29"/>
      <c r="N23" s="29"/>
      <c r="O23" s="29"/>
      <c r="P23" s="29"/>
      <c r="Q23" s="29"/>
      <c r="R23"/>
      <c r="S23" s="5" t="s">
        <v>200</v>
      </c>
      <c r="T23" s="5">
        <v>20</v>
      </c>
      <c r="U23" s="5" t="s">
        <v>44</v>
      </c>
      <c r="V23"/>
      <c r="W23"/>
      <c r="X23"/>
      <c r="Y23"/>
      <c r="Z23"/>
      <c r="AA23"/>
      <c r="AB23"/>
      <c r="AC23"/>
      <c r="AD23"/>
      <c r="AE23"/>
      <c r="AF23"/>
      <c r="AG23"/>
      <c r="AH23"/>
      <c r="AI23"/>
      <c r="AJ23"/>
      <c r="AK23"/>
      <c r="AL23"/>
      <c r="AM23"/>
      <c r="AN23"/>
    </row>
    <row r="24" spans="1:40" s="81" customFormat="1" x14ac:dyDescent="0.25">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25">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25">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25">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25">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25">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25">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25">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25">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25">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25">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25">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25">
      <c r="A37" s="29"/>
      <c r="B37" s="29"/>
      <c r="C37" s="29"/>
      <c r="D37" s="29"/>
      <c r="E37" s="29"/>
      <c r="F37" s="29"/>
      <c r="G37" s="29"/>
      <c r="H37" s="29"/>
      <c r="I37" s="29"/>
      <c r="J37" s="29"/>
      <c r="K37" s="29"/>
      <c r="L37" s="29"/>
      <c r="M37" s="29"/>
      <c r="N37" s="29"/>
      <c r="O37" s="29"/>
      <c r="P37" s="29"/>
      <c r="Q37" s="29"/>
      <c r="R37" s="29"/>
      <c r="S37" s="75"/>
      <c r="T37" s="75"/>
      <c r="U37" s="92" t="s">
        <v>127</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c r="T38" s="75"/>
      <c r="U38" s="92" t="s">
        <v>127</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5" x14ac:dyDescent="0.25"/>
  <sheetData>
    <row r="3" spans="1:46" x14ac:dyDescent="0.25">
      <c r="A3" s="58" t="s">
        <v>162</v>
      </c>
      <c r="B3" s="2" t="s">
        <v>379</v>
      </c>
      <c r="C3" s="58" t="s">
        <v>161</v>
      </c>
      <c r="D3" s="2" t="s">
        <v>380</v>
      </c>
      <c r="U3" s="89"/>
      <c r="AO3" t="s">
        <v>163</v>
      </c>
      <c r="AP3" t="s">
        <v>381</v>
      </c>
      <c r="AQ3" t="s">
        <v>162</v>
      </c>
      <c r="AR3" t="s">
        <v>379</v>
      </c>
      <c r="AS3" t="s">
        <v>161</v>
      </c>
      <c r="AT3" t="s">
        <v>380</v>
      </c>
    </row>
    <row r="4" spans="1:46" x14ac:dyDescent="0.25">
      <c r="A4" s="40" t="s">
        <v>0</v>
      </c>
      <c r="B4" s="2"/>
      <c r="C4" s="2"/>
      <c r="D4" s="2"/>
      <c r="E4" s="2"/>
      <c r="F4" s="2"/>
      <c r="G4" s="2"/>
      <c r="H4" s="2"/>
      <c r="I4" s="2"/>
      <c r="J4" s="2"/>
      <c r="K4" s="2"/>
      <c r="L4" s="2"/>
      <c r="M4" s="2"/>
      <c r="N4" s="2"/>
      <c r="O4" s="2"/>
      <c r="P4" s="2"/>
      <c r="Q4" s="58" t="s">
        <v>322</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25">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25">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25">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25">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25">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25">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25">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25">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25">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25">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91</v>
      </c>
    </row>
    <row r="18" spans="1:32" x14ac:dyDescent="0.25">
      <c r="A18" s="2">
        <v>14</v>
      </c>
      <c r="B18" s="2"/>
      <c r="C18" s="2"/>
      <c r="D18" s="2"/>
      <c r="E18" s="2"/>
      <c r="F18" s="2"/>
      <c r="G18" s="2"/>
      <c r="H18" s="2"/>
      <c r="I18" s="2"/>
      <c r="J18" s="2"/>
      <c r="K18" s="2"/>
      <c r="L18" s="2"/>
      <c r="M18" s="2"/>
      <c r="N18" s="2"/>
      <c r="O18" s="2"/>
      <c r="P18" s="2"/>
      <c r="Q18" s="2"/>
      <c r="S18" s="5" t="s">
        <v>125</v>
      </c>
      <c r="T18" s="5" t="s">
        <v>186</v>
      </c>
      <c r="U18" s="5"/>
    </row>
    <row r="19" spans="1:32" x14ac:dyDescent="0.25">
      <c r="A19" s="2">
        <v>15</v>
      </c>
      <c r="B19" s="2"/>
      <c r="C19" s="2"/>
      <c r="D19" s="2"/>
      <c r="E19" s="2"/>
      <c r="F19" s="2"/>
      <c r="G19" s="2"/>
      <c r="H19" s="2"/>
      <c r="I19" s="2"/>
      <c r="J19" s="2"/>
      <c r="K19" s="2"/>
      <c r="L19" s="2"/>
      <c r="M19" s="2"/>
      <c r="N19" s="2"/>
      <c r="O19" s="2"/>
      <c r="P19" s="2"/>
      <c r="Q19" s="2"/>
      <c r="S19" s="5" t="s">
        <v>185</v>
      </c>
      <c r="T19" s="5" t="s">
        <v>156</v>
      </c>
      <c r="U19" s="5"/>
    </row>
    <row r="20" spans="1:32" x14ac:dyDescent="0.2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162</v>
      </c>
      <c r="B37" s="2" t="s">
        <v>404</v>
      </c>
      <c r="C37" s="58" t="s">
        <v>161</v>
      </c>
      <c r="D37" s="2" t="s">
        <v>380</v>
      </c>
      <c r="U37" s="89"/>
      <c r="AO37" t="s">
        <v>163</v>
      </c>
      <c r="AP37" t="s">
        <v>405</v>
      </c>
      <c r="AQ37" t="s">
        <v>162</v>
      </c>
      <c r="AR37" t="s">
        <v>404</v>
      </c>
      <c r="AS37" t="s">
        <v>161</v>
      </c>
      <c r="AT37" t="s">
        <v>380</v>
      </c>
    </row>
    <row r="38" spans="1:46" x14ac:dyDescent="0.25">
      <c r="A38" s="40" t="s">
        <v>0</v>
      </c>
      <c r="B38" s="2"/>
      <c r="C38" s="2"/>
      <c r="D38" s="2"/>
      <c r="E38" s="2"/>
      <c r="F38" s="2"/>
      <c r="G38" s="2"/>
      <c r="H38" s="2"/>
      <c r="I38" s="2"/>
      <c r="J38" s="2"/>
      <c r="K38" s="2"/>
      <c r="L38" s="2"/>
      <c r="M38" s="2"/>
      <c r="N38" s="2"/>
      <c r="O38" s="2"/>
      <c r="P38" s="2"/>
      <c r="Q38" s="58" t="s">
        <v>322</v>
      </c>
      <c r="U38" s="89"/>
    </row>
    <row r="39" spans="1:46" x14ac:dyDescent="0.25">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25">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25">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25">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25">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25">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25">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25">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25">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25">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25">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25">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25">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25">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25">
      <c r="A53" s="2">
        <v>15</v>
      </c>
      <c r="B53" s="2"/>
      <c r="C53" s="2"/>
      <c r="D53" s="2"/>
      <c r="E53" s="2"/>
      <c r="F53" s="2"/>
      <c r="G53" s="2"/>
      <c r="H53" s="2"/>
      <c r="I53" s="2"/>
      <c r="J53" s="2"/>
      <c r="K53" s="2"/>
      <c r="L53" s="2"/>
      <c r="M53" s="2"/>
      <c r="N53" s="2"/>
      <c r="O53" s="2"/>
      <c r="P53" s="2"/>
      <c r="Q53" s="2"/>
      <c r="S53" s="5" t="s">
        <v>185</v>
      </c>
      <c r="T53" s="5" t="s">
        <v>156</v>
      </c>
      <c r="U53" s="5"/>
    </row>
    <row r="54" spans="1:22" x14ac:dyDescent="0.25">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25">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25">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25">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162</v>
      </c>
      <c r="B71" s="2" t="s">
        <v>408</v>
      </c>
      <c r="C71" s="58" t="s">
        <v>161</v>
      </c>
      <c r="D71" s="2" t="s">
        <v>380</v>
      </c>
      <c r="U71" s="89"/>
      <c r="AO71" t="s">
        <v>163</v>
      </c>
      <c r="AP71" t="s">
        <v>409</v>
      </c>
      <c r="AQ71" t="s">
        <v>162</v>
      </c>
      <c r="AR71" t="s">
        <v>408</v>
      </c>
      <c r="AS71" t="s">
        <v>161</v>
      </c>
      <c r="AT71" t="s">
        <v>380</v>
      </c>
    </row>
    <row r="72" spans="1:46" x14ac:dyDescent="0.25">
      <c r="A72" s="40" t="s">
        <v>0</v>
      </c>
      <c r="B72" s="2"/>
      <c r="C72" s="2"/>
      <c r="D72" s="2"/>
      <c r="E72" s="2"/>
      <c r="F72" s="2"/>
      <c r="G72" s="2"/>
      <c r="H72" s="2"/>
      <c r="I72" s="2"/>
      <c r="J72" s="2"/>
      <c r="K72" s="2"/>
      <c r="L72" s="2"/>
      <c r="M72" s="2"/>
      <c r="N72" s="2"/>
      <c r="O72" s="2"/>
      <c r="P72" s="2"/>
      <c r="Q72" s="58" t="s">
        <v>322</v>
      </c>
      <c r="U72" s="89"/>
    </row>
    <row r="73" spans="1:46" x14ac:dyDescent="0.25">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25">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25">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25">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25">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25">
      <c r="A78" s="2">
        <v>6</v>
      </c>
      <c r="B78" s="2"/>
      <c r="C78" s="2"/>
      <c r="D78" s="2"/>
      <c r="E78" s="2"/>
      <c r="F78" s="2"/>
      <c r="G78" s="2"/>
      <c r="H78" s="2"/>
      <c r="I78" s="2"/>
      <c r="J78" s="2"/>
      <c r="K78" s="2"/>
      <c r="L78" s="2"/>
      <c r="M78" s="2"/>
      <c r="N78" s="2"/>
      <c r="O78" s="2"/>
      <c r="P78" s="2"/>
      <c r="Q78" s="2"/>
      <c r="S78" s="5" t="s">
        <v>227</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86</v>
      </c>
      <c r="T81" s="5">
        <v>1000</v>
      </c>
      <c r="U81" s="5" t="s">
        <v>45</v>
      </c>
    </row>
    <row r="82" spans="1:22" x14ac:dyDescent="0.25">
      <c r="A82" s="2">
        <v>10</v>
      </c>
      <c r="B82" s="2"/>
      <c r="C82" s="2"/>
      <c r="D82" s="2"/>
      <c r="E82" s="2"/>
      <c r="F82" s="2"/>
      <c r="G82" s="2"/>
      <c r="H82" s="2"/>
      <c r="I82" s="2"/>
      <c r="J82" s="2"/>
      <c r="K82" s="2"/>
      <c r="L82" s="2"/>
      <c r="M82" s="2"/>
      <c r="N82" s="2"/>
      <c r="O82" s="2"/>
      <c r="P82" s="2"/>
      <c r="Q82" s="2"/>
      <c r="S82" s="5" t="s">
        <v>87</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91</v>
      </c>
    </row>
    <row r="86" spans="1:22" x14ac:dyDescent="0.25">
      <c r="A86" s="2">
        <v>14</v>
      </c>
      <c r="B86" s="2"/>
      <c r="C86" s="2"/>
      <c r="D86" s="2"/>
      <c r="E86" s="2"/>
      <c r="F86" s="2"/>
      <c r="G86" s="2"/>
      <c r="H86" s="2"/>
      <c r="I86" s="2"/>
      <c r="J86" s="2"/>
      <c r="K86" s="2"/>
      <c r="L86" s="2"/>
      <c r="M86" s="2"/>
      <c r="N86" s="2"/>
      <c r="O86" s="2"/>
      <c r="P86" s="2"/>
      <c r="Q86" s="2"/>
      <c r="S86" s="5" t="s">
        <v>125</v>
      </c>
      <c r="T86" s="5" t="s">
        <v>186</v>
      </c>
      <c r="U86" s="5"/>
    </row>
    <row r="87" spans="1:22" x14ac:dyDescent="0.25">
      <c r="A87" s="2">
        <v>15</v>
      </c>
      <c r="B87" s="2"/>
      <c r="C87" s="2"/>
      <c r="D87" s="2"/>
      <c r="E87" s="2"/>
      <c r="F87" s="2"/>
      <c r="G87" s="2"/>
      <c r="H87" s="2"/>
      <c r="I87" s="2"/>
      <c r="J87" s="2"/>
      <c r="K87" s="2"/>
      <c r="L87" s="2"/>
      <c r="M87" s="2"/>
      <c r="N87" s="2"/>
      <c r="O87" s="2"/>
      <c r="P87" s="2"/>
      <c r="Q87" s="2"/>
      <c r="S87" s="5" t="s">
        <v>185</v>
      </c>
      <c r="T87" s="5" t="s">
        <v>156</v>
      </c>
      <c r="U87" s="5"/>
    </row>
    <row r="88" spans="1:22" x14ac:dyDescent="0.25">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25">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25">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25">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25">
      <c r="A106" s="40" t="s">
        <v>0</v>
      </c>
      <c r="B106" s="41"/>
      <c r="C106" s="18"/>
      <c r="D106" s="18"/>
      <c r="E106" s="18"/>
      <c r="F106" s="18"/>
      <c r="G106" s="18"/>
      <c r="H106" s="18"/>
      <c r="I106" s="18"/>
      <c r="J106" s="18"/>
      <c r="K106" s="18"/>
      <c r="L106" s="18"/>
      <c r="M106" s="18"/>
      <c r="N106" s="18"/>
      <c r="O106" s="18"/>
      <c r="P106" s="18"/>
      <c r="Q106" s="58" t="s">
        <v>322</v>
      </c>
      <c r="U106" s="89"/>
    </row>
    <row r="107" spans="1:46" x14ac:dyDescent="0.25">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25">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25">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25">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25">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25">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25">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25">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25">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25">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25">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25">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25">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25">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25">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25">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25">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162</v>
      </c>
      <c r="B3" s="2" t="s">
        <v>320</v>
      </c>
      <c r="C3" s="58" t="s">
        <v>161</v>
      </c>
      <c r="D3" s="2" t="s">
        <v>367</v>
      </c>
      <c r="AO3" t="s">
        <v>163</v>
      </c>
      <c r="AP3" t="s">
        <v>321</v>
      </c>
      <c r="AQ3" t="s">
        <v>162</v>
      </c>
      <c r="AR3" t="s">
        <v>320</v>
      </c>
      <c r="AS3" t="s">
        <v>161</v>
      </c>
      <c r="AT3" t="s">
        <v>367</v>
      </c>
    </row>
    <row r="4" spans="1:46" x14ac:dyDescent="0.25">
      <c r="A4" s="40" t="s">
        <v>0</v>
      </c>
      <c r="B4" s="2"/>
      <c r="C4" s="2"/>
      <c r="D4" s="2"/>
      <c r="E4" s="2"/>
      <c r="F4" s="2"/>
      <c r="G4" s="2"/>
      <c r="H4" s="2"/>
      <c r="I4" s="2"/>
      <c r="J4" s="2"/>
      <c r="K4" s="2"/>
      <c r="L4" s="2"/>
      <c r="M4" s="2"/>
      <c r="N4" s="2"/>
      <c r="O4" s="2"/>
      <c r="P4" s="2"/>
      <c r="Q4" s="58" t="s">
        <v>322</v>
      </c>
    </row>
    <row r="5" spans="1:46" x14ac:dyDescent="0.25">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310</v>
      </c>
      <c r="S5" s="95" t="s">
        <v>40</v>
      </c>
      <c r="T5" s="3"/>
      <c r="U5" s="5"/>
    </row>
    <row r="6" spans="1:46" x14ac:dyDescent="0.25">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311</v>
      </c>
      <c r="S6" s="5" t="s">
        <v>115</v>
      </c>
      <c r="T6" s="5">
        <v>0.2</v>
      </c>
      <c r="U6" s="5" t="s">
        <v>44</v>
      </c>
    </row>
    <row r="7" spans="1:46" x14ac:dyDescent="0.25">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25">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25">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25">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25">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5" customHeight="1" x14ac:dyDescent="0.25">
      <c r="A13" s="2">
        <v>9</v>
      </c>
      <c r="B13" s="29"/>
      <c r="C13" s="143" t="s">
        <v>375</v>
      </c>
      <c r="D13" s="143"/>
      <c r="E13" s="143"/>
      <c r="F13" s="143"/>
      <c r="G13" s="143"/>
      <c r="H13" s="143"/>
      <c r="I13" s="143"/>
      <c r="J13" s="143"/>
      <c r="K13" s="143"/>
      <c r="L13" s="143"/>
      <c r="M13" s="143"/>
      <c r="N13" s="143"/>
      <c r="O13" s="29"/>
      <c r="P13" s="29"/>
      <c r="Q13" s="29"/>
      <c r="S13" s="5" t="s">
        <v>86</v>
      </c>
      <c r="T13" s="5">
        <v>1000</v>
      </c>
      <c r="U13" s="5" t="s">
        <v>45</v>
      </c>
    </row>
    <row r="14" spans="1:46" x14ac:dyDescent="0.25">
      <c r="A14" s="2">
        <v>10</v>
      </c>
      <c r="B14" s="29"/>
      <c r="C14" s="143" t="s">
        <v>369</v>
      </c>
      <c r="D14" s="143"/>
      <c r="E14" s="143"/>
      <c r="F14" s="143"/>
      <c r="G14" s="143"/>
      <c r="H14" s="143"/>
      <c r="I14" s="143"/>
      <c r="J14" s="143"/>
      <c r="K14" s="143"/>
      <c r="L14" s="143"/>
      <c r="M14" s="143"/>
      <c r="N14" s="143"/>
      <c r="O14" s="29"/>
      <c r="P14" s="29"/>
      <c r="Q14" s="29"/>
      <c r="S14" s="5" t="s">
        <v>87</v>
      </c>
      <c r="T14" s="5">
        <v>9000</v>
      </c>
      <c r="U14" s="5" t="s">
        <v>45</v>
      </c>
    </row>
    <row r="15" spans="1:46" x14ac:dyDescent="0.25">
      <c r="A15" s="2">
        <v>11</v>
      </c>
      <c r="B15" s="29"/>
      <c r="C15" s="144" t="s">
        <v>370</v>
      </c>
      <c r="D15" s="144"/>
      <c r="E15" s="144"/>
      <c r="F15" s="144"/>
      <c r="G15" s="144"/>
      <c r="H15" s="144"/>
      <c r="I15" s="144"/>
      <c r="J15" s="144"/>
      <c r="K15" s="144"/>
      <c r="L15" s="144"/>
      <c r="M15" s="144"/>
      <c r="N15" s="144"/>
      <c r="O15" s="29"/>
      <c r="P15" s="29"/>
      <c r="Q15" s="29"/>
      <c r="S15" s="5" t="s">
        <v>41</v>
      </c>
      <c r="T15" s="5">
        <v>210</v>
      </c>
      <c r="U15" s="5" t="s">
        <v>43</v>
      </c>
      <c r="V15" s="1"/>
    </row>
    <row r="16" spans="1:46" x14ac:dyDescent="0.25">
      <c r="A16" s="2">
        <v>12</v>
      </c>
      <c r="B16" s="29"/>
      <c r="C16" s="144" t="s">
        <v>710</v>
      </c>
      <c r="D16" s="144"/>
      <c r="E16" s="144"/>
      <c r="F16" s="144"/>
      <c r="G16" s="144"/>
      <c r="H16" s="144"/>
      <c r="I16" s="144"/>
      <c r="J16" s="144"/>
      <c r="K16" s="144"/>
      <c r="L16" s="144"/>
      <c r="M16" s="144"/>
      <c r="N16" s="144"/>
      <c r="O16" s="29"/>
      <c r="P16" s="29"/>
      <c r="Q16" s="29"/>
      <c r="S16" s="5" t="s">
        <v>42</v>
      </c>
      <c r="T16" s="5">
        <v>2.85</v>
      </c>
      <c r="U16" s="5" t="s">
        <v>44</v>
      </c>
    </row>
    <row r="17" spans="1:32" x14ac:dyDescent="0.25">
      <c r="A17" s="2">
        <v>13</v>
      </c>
      <c r="B17" s="29"/>
      <c r="C17" s="144" t="s">
        <v>711</v>
      </c>
      <c r="D17" s="144"/>
      <c r="E17" s="144"/>
      <c r="F17" s="144"/>
      <c r="G17" s="144"/>
      <c r="H17" s="144"/>
      <c r="I17" s="144"/>
      <c r="J17" s="144"/>
      <c r="K17" s="144"/>
      <c r="L17" s="144"/>
      <c r="M17" s="144"/>
      <c r="N17" s="144"/>
      <c r="O17" s="29"/>
      <c r="P17" s="29"/>
      <c r="Q17" s="29"/>
      <c r="S17" s="5" t="s">
        <v>46</v>
      </c>
      <c r="T17" s="5" t="s">
        <v>82</v>
      </c>
      <c r="U17" s="5" t="s">
        <v>91</v>
      </c>
    </row>
    <row r="18" spans="1:32" x14ac:dyDescent="0.25">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25">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2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119</v>
      </c>
      <c r="T49" s="77" t="e">
        <f>ArcAngle/2</f>
        <v>#NAME?</v>
      </c>
      <c r="U49" s="92" t="s">
        <v>170</v>
      </c>
    </row>
    <row r="50" spans="1:46" x14ac:dyDescent="0.25">
      <c r="S50" s="77" t="s">
        <v>309</v>
      </c>
      <c r="T50" s="77" t="e">
        <f>NumberOfLayers*SecondLayerOffset</f>
        <v>#NAME?</v>
      </c>
      <c r="U50" s="92" t="s">
        <v>44</v>
      </c>
    </row>
    <row r="51" spans="1:46" x14ac:dyDescent="0.25">
      <c r="S51" s="77" t="s">
        <v>308</v>
      </c>
      <c r="T51" s="77" t="e">
        <f>Height/2</f>
        <v>#NAME?</v>
      </c>
      <c r="U51" s="92" t="s">
        <v>44</v>
      </c>
    </row>
    <row r="53" spans="1:46" x14ac:dyDescent="0.25">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25">
      <c r="A54" s="40" t="s">
        <v>0</v>
      </c>
      <c r="B54" s="41"/>
      <c r="C54" s="18"/>
      <c r="D54" s="18"/>
      <c r="E54" s="18"/>
      <c r="F54" s="18"/>
      <c r="G54" s="18"/>
      <c r="H54" s="18"/>
      <c r="I54" s="18"/>
      <c r="J54" s="18"/>
      <c r="K54" s="18"/>
      <c r="L54" s="18"/>
      <c r="M54" s="18"/>
      <c r="N54" s="18"/>
      <c r="O54" s="18"/>
      <c r="P54" s="18"/>
      <c r="Q54" s="58" t="s">
        <v>322</v>
      </c>
    </row>
    <row r="55" spans="1:46" x14ac:dyDescent="0.25">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25">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25">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25">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25">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25">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25">
      <c r="A68" s="29"/>
      <c r="B68" s="29"/>
      <c r="C68" s="29"/>
      <c r="D68" s="29"/>
      <c r="E68" s="29"/>
      <c r="F68" s="29"/>
      <c r="G68" s="29"/>
      <c r="H68" s="29"/>
      <c r="I68" s="29"/>
      <c r="J68" s="29"/>
      <c r="K68" s="29"/>
      <c r="L68" s="29"/>
      <c r="M68" s="29"/>
      <c r="N68" s="29"/>
      <c r="O68" s="29"/>
      <c r="P68" s="29"/>
      <c r="Q68" s="29"/>
      <c r="S68" s="5" t="s">
        <v>125</v>
      </c>
      <c r="T68" s="5" t="s">
        <v>186</v>
      </c>
      <c r="U68" s="5"/>
    </row>
    <row r="69" spans="1:22" x14ac:dyDescent="0.25">
      <c r="A69" s="29"/>
      <c r="B69" s="29"/>
      <c r="C69" s="29"/>
      <c r="D69" s="29"/>
      <c r="E69" s="29"/>
      <c r="F69" s="29"/>
      <c r="G69" s="29"/>
      <c r="H69" s="29"/>
      <c r="I69" s="29"/>
      <c r="J69" s="29"/>
      <c r="K69" s="29"/>
      <c r="L69" s="29"/>
      <c r="M69" s="29"/>
      <c r="N69" s="29"/>
      <c r="O69" s="29"/>
      <c r="P69" s="29"/>
      <c r="Q69" s="29"/>
      <c r="S69" s="5" t="s">
        <v>185</v>
      </c>
      <c r="T69" s="5" t="s">
        <v>156</v>
      </c>
      <c r="U69" s="5"/>
    </row>
    <row r="70" spans="1:22" x14ac:dyDescent="0.25">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25">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25">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25">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25">
      <c r="A90" s="40" t="s">
        <v>0</v>
      </c>
      <c r="B90" s="41"/>
      <c r="C90" s="18"/>
      <c r="D90" s="18"/>
      <c r="E90" s="18"/>
      <c r="F90" s="18"/>
      <c r="G90" s="18"/>
      <c r="H90" s="18"/>
      <c r="I90" s="18"/>
      <c r="J90" s="18"/>
      <c r="K90" s="18"/>
      <c r="L90" s="18"/>
      <c r="M90" s="18"/>
      <c r="N90" s="18"/>
      <c r="O90" s="18"/>
      <c r="P90" s="18"/>
      <c r="Q90" s="58" t="s">
        <v>322</v>
      </c>
    </row>
    <row r="91" spans="1:46" x14ac:dyDescent="0.25">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25">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25">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25">
      <c r="A96" s="20">
        <v>6</v>
      </c>
      <c r="B96" s="20"/>
      <c r="C96" s="20"/>
      <c r="D96" s="20"/>
      <c r="E96" s="20"/>
      <c r="F96" s="20"/>
      <c r="G96" s="20"/>
      <c r="H96" s="20"/>
      <c r="I96" s="20"/>
      <c r="J96" s="20"/>
      <c r="K96" s="20"/>
      <c r="L96" s="20"/>
      <c r="M96" s="20"/>
      <c r="N96" s="20"/>
      <c r="O96" s="20"/>
      <c r="P96" s="20"/>
      <c r="Q96" s="20"/>
      <c r="S96" s="5" t="s">
        <v>227</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25">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25">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25">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25">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25">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25">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25">
      <c r="A126" s="40" t="s">
        <v>0</v>
      </c>
      <c r="B126" s="41"/>
      <c r="C126" s="18"/>
      <c r="D126" s="18"/>
      <c r="E126" s="18"/>
      <c r="F126" s="18"/>
      <c r="G126" s="18"/>
      <c r="H126" s="18"/>
      <c r="I126" s="18"/>
      <c r="J126" s="18"/>
      <c r="K126" s="18"/>
      <c r="L126" s="18"/>
      <c r="M126" s="18"/>
      <c r="N126" s="18"/>
      <c r="O126" s="18"/>
      <c r="P126" s="18"/>
      <c r="Q126" s="58" t="s">
        <v>322</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25">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25">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25">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25">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25">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25">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25">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25">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25">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25">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25">
      <c r="A161" s="40" t="s">
        <v>0</v>
      </c>
      <c r="B161" s="41"/>
      <c r="C161" s="18"/>
      <c r="D161" s="18"/>
      <c r="E161" s="18"/>
      <c r="F161" s="18"/>
      <c r="G161" s="18"/>
      <c r="H161" s="18"/>
      <c r="I161" s="18"/>
      <c r="J161" s="18"/>
      <c r="K161" s="18"/>
      <c r="L161" s="18"/>
      <c r="M161" s="18"/>
      <c r="N161" s="18"/>
      <c r="O161" s="18"/>
      <c r="P161" s="18"/>
      <c r="Q161" s="58" t="s">
        <v>322</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25">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25">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25">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25">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25">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25">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25">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25">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25">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25">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25">
      <c r="S191" s="75"/>
      <c r="T191" s="75"/>
      <c r="U191" s="92"/>
    </row>
    <row r="192" spans="1:32" x14ac:dyDescent="0.25">
      <c r="S192" s="75" t="s">
        <v>304</v>
      </c>
      <c r="T192" s="75">
        <v>50</v>
      </c>
      <c r="U192" s="92" t="s">
        <v>44</v>
      </c>
    </row>
    <row r="193" spans="1:46" x14ac:dyDescent="0.25">
      <c r="S193" s="79" t="s">
        <v>305</v>
      </c>
      <c r="T193" s="79">
        <v>50</v>
      </c>
      <c r="U193" s="92" t="s">
        <v>44</v>
      </c>
    </row>
    <row r="195" spans="1:46" x14ac:dyDescent="0.25">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25">
      <c r="A196" s="40" t="s">
        <v>0</v>
      </c>
      <c r="B196" s="41"/>
      <c r="C196" s="18"/>
      <c r="D196" s="18"/>
      <c r="E196" s="18"/>
      <c r="F196" s="18"/>
      <c r="G196" s="18"/>
      <c r="H196" s="18"/>
      <c r="I196" s="18"/>
      <c r="J196" s="18"/>
      <c r="K196" s="18"/>
      <c r="L196" s="18"/>
      <c r="M196" s="18"/>
      <c r="N196" s="18"/>
      <c r="O196" s="18"/>
      <c r="P196" s="18"/>
      <c r="Q196" s="58" t="s">
        <v>322</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25">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25">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25">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25">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25">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25">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25">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25">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25">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25">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25">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25">
      <c r="A231" s="40" t="s">
        <v>0</v>
      </c>
      <c r="B231" s="41"/>
      <c r="C231" s="18"/>
      <c r="D231" s="18"/>
      <c r="E231" s="18"/>
      <c r="F231" s="18"/>
      <c r="G231" s="18"/>
      <c r="H231" s="18"/>
      <c r="I231" s="18"/>
      <c r="J231" s="18"/>
      <c r="K231" s="18"/>
      <c r="L231" s="18"/>
      <c r="M231" s="18"/>
      <c r="N231" s="18"/>
      <c r="O231" s="18"/>
      <c r="P231" s="18"/>
      <c r="Q231" s="58" t="s">
        <v>322</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25">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25">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25">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25">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25">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25">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25">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25">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299</v>
      </c>
      <c r="B1" s="71" t="s">
        <v>302</v>
      </c>
      <c r="C1" s="71" t="s">
        <v>300</v>
      </c>
      <c r="D1" s="60" t="s">
        <v>301</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6" sqref="B16"/>
    </sheetView>
  </sheetViews>
  <sheetFormatPr defaultRowHeight="15" x14ac:dyDescent="0.25"/>
  <cols>
    <col min="4" max="4" width="20.85546875" customWidth="1"/>
    <col min="7" max="7" width="29.85546875" customWidth="1"/>
  </cols>
  <sheetData>
    <row r="1" spans="1:21" s="29" customFormat="1" ht="31.5" x14ac:dyDescent="0.5">
      <c r="B1" s="76" t="s">
        <v>374</v>
      </c>
      <c r="I1"/>
    </row>
    <row r="2" spans="1:21" x14ac:dyDescent="0.25">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5" customHeight="1" x14ac:dyDescent="0.25">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5" customHeight="1" x14ac:dyDescent="0.25">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5" customHeight="1" x14ac:dyDescent="0.25">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25">
      <c r="B9" s="30" t="s">
        <v>127</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180</v>
      </c>
      <c r="C12" s="30" t="s">
        <v>12</v>
      </c>
      <c r="D12" s="30" t="s">
        <v>153</v>
      </c>
      <c r="E12" s="30" t="s">
        <v>3</v>
      </c>
      <c r="F12" s="30" t="s">
        <v>4</v>
      </c>
      <c r="G12" s="30" t="s">
        <v>5</v>
      </c>
      <c r="H12" s="30" t="s">
        <v>6</v>
      </c>
      <c r="I12"/>
    </row>
    <row r="13" spans="1:21" s="29" customFormat="1" x14ac:dyDescent="0.25">
      <c r="B13" s="30" t="s">
        <v>181</v>
      </c>
      <c r="C13" s="30" t="s">
        <v>12</v>
      </c>
      <c r="D13" s="30" t="s">
        <v>2</v>
      </c>
      <c r="E13" s="30" t="s">
        <v>7</v>
      </c>
      <c r="F13" s="30" t="s">
        <v>8</v>
      </c>
      <c r="G13" s="30" t="s">
        <v>154</v>
      </c>
      <c r="H13" s="30"/>
      <c r="I13" s="1" t="s">
        <v>645</v>
      </c>
    </row>
    <row r="14" spans="1:21" s="29" customFormat="1" x14ac:dyDescent="0.25">
      <c r="B14" s="30" t="s">
        <v>209</v>
      </c>
      <c r="C14" s="30" t="s">
        <v>12</v>
      </c>
      <c r="D14" s="30" t="s">
        <v>37</v>
      </c>
      <c r="E14" s="30" t="s">
        <v>210</v>
      </c>
      <c r="F14" s="30"/>
      <c r="G14" s="55" t="s">
        <v>211</v>
      </c>
      <c r="H14" s="30"/>
      <c r="I14" s="1"/>
    </row>
    <row r="15" spans="1:21" s="29" customFormat="1" x14ac:dyDescent="0.25">
      <c r="B15" s="30" t="s">
        <v>184</v>
      </c>
      <c r="C15" s="30" t="s">
        <v>12</v>
      </c>
      <c r="D15" s="30" t="s">
        <v>32</v>
      </c>
      <c r="E15" s="30" t="s">
        <v>21</v>
      </c>
      <c r="F15" s="30" t="s">
        <v>13</v>
      </c>
      <c r="I15"/>
      <c r="J15" s="55" t="s">
        <v>81</v>
      </c>
    </row>
    <row r="16" spans="1:21" s="29" customFormat="1" x14ac:dyDescent="0.25">
      <c r="B16" s="30" t="s">
        <v>298</v>
      </c>
      <c r="C16" s="30" t="s">
        <v>12</v>
      </c>
      <c r="D16" s="30" t="s">
        <v>21</v>
      </c>
      <c r="E16" s="30" t="s">
        <v>78</v>
      </c>
      <c r="F16" s="30" t="s">
        <v>79</v>
      </c>
      <c r="G16" s="30" t="s">
        <v>80</v>
      </c>
      <c r="H16" s="30" t="s">
        <v>73</v>
      </c>
      <c r="I16" s="1" t="s">
        <v>74</v>
      </c>
      <c r="J16" s="30" t="s">
        <v>58</v>
      </c>
      <c r="K16" s="30" t="s">
        <v>297</v>
      </c>
      <c r="M16" s="69" t="s">
        <v>296</v>
      </c>
      <c r="N16" s="68" t="s">
        <v>295</v>
      </c>
      <c r="O16" s="51" t="s">
        <v>867</v>
      </c>
      <c r="P16" s="51" t="s">
        <v>868</v>
      </c>
    </row>
    <row r="17" spans="1:30" s="29" customFormat="1" x14ac:dyDescent="0.25">
      <c r="B17" s="30" t="s">
        <v>127</v>
      </c>
      <c r="C17" s="30"/>
      <c r="D17" s="30"/>
      <c r="E17" s="30"/>
      <c r="F17" s="30"/>
      <c r="G17" s="30"/>
      <c r="H17" s="30"/>
      <c r="I17" s="1"/>
    </row>
    <row r="18" spans="1:30" s="29" customFormat="1" x14ac:dyDescent="0.25">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25">
      <c r="B20" s="34" t="s">
        <v>127</v>
      </c>
      <c r="I20" s="129"/>
    </row>
    <row r="21" spans="1:30" s="29" customFormat="1" ht="132.6" customHeight="1" x14ac:dyDescent="0.25">
      <c r="B21" s="51" t="s">
        <v>52</v>
      </c>
      <c r="C21" s="52" t="s">
        <v>175</v>
      </c>
      <c r="D21" s="52" t="s">
        <v>176</v>
      </c>
      <c r="E21" s="52" t="s">
        <v>177</v>
      </c>
      <c r="F21" s="53" t="s">
        <v>53</v>
      </c>
      <c r="G21" s="145" t="s">
        <v>174</v>
      </c>
      <c r="H21" s="145"/>
      <c r="I21" s="145"/>
      <c r="J21" s="145"/>
      <c r="K21" s="145"/>
      <c r="L21" s="145"/>
      <c r="M21" s="145"/>
      <c r="N21" s="145"/>
      <c r="O21" s="145"/>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217</v>
      </c>
      <c r="K23" s="51"/>
      <c r="L23" s="51"/>
      <c r="M23" s="51"/>
      <c r="Q23" s="51"/>
      <c r="R23" s="51"/>
      <c r="S23" s="51"/>
    </row>
    <row r="24" spans="1:30" s="29" customFormat="1" x14ac:dyDescent="0.25">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219</v>
      </c>
      <c r="K25" s="51"/>
      <c r="L25" s="51"/>
      <c r="M25" s="51"/>
      <c r="R25" s="51"/>
      <c r="S25" s="51"/>
      <c r="AC25" s="51"/>
      <c r="AD25" s="51"/>
    </row>
    <row r="26" spans="1:30" s="29" customFormat="1" x14ac:dyDescent="0.25">
      <c r="B26" s="51"/>
      <c r="C26" s="51"/>
      <c r="D26" s="51"/>
      <c r="E26" s="51"/>
      <c r="F26" s="51"/>
      <c r="G26" s="51" t="s">
        <v>167</v>
      </c>
      <c r="H26" s="51" t="s">
        <v>27</v>
      </c>
      <c r="I26"/>
      <c r="J26" s="51" t="s">
        <v>220</v>
      </c>
      <c r="K26" s="51"/>
      <c r="L26" s="51"/>
      <c r="M26" s="51"/>
      <c r="N26" s="51"/>
      <c r="O26" s="51"/>
    </row>
    <row r="27" spans="1:30" s="29" customFormat="1" x14ac:dyDescent="0.25">
      <c r="B27" s="51"/>
      <c r="C27" s="51"/>
      <c r="D27" s="51"/>
      <c r="E27" s="51"/>
      <c r="F27" s="51"/>
      <c r="G27" s="51" t="s">
        <v>166</v>
      </c>
      <c r="H27" s="51" t="s">
        <v>27</v>
      </c>
      <c r="I27"/>
      <c r="J27" s="51" t="s">
        <v>221</v>
      </c>
      <c r="K27" s="51"/>
      <c r="L27" s="51"/>
      <c r="M27" s="51"/>
      <c r="N27" s="51"/>
    </row>
    <row r="28" spans="1:30" s="29" customFormat="1" x14ac:dyDescent="0.25">
      <c r="B28" s="51"/>
      <c r="C28" s="51"/>
      <c r="D28" s="51"/>
      <c r="E28" s="51"/>
      <c r="F28" s="51"/>
      <c r="G28" s="51" t="s">
        <v>165</v>
      </c>
      <c r="H28" s="51" t="s">
        <v>27</v>
      </c>
      <c r="I28"/>
      <c r="J28" s="54" t="s">
        <v>222</v>
      </c>
      <c r="K28" s="51"/>
      <c r="L28" s="51"/>
      <c r="M28" s="51"/>
      <c r="N28" s="51"/>
    </row>
    <row r="29" spans="1:30" s="29" customFormat="1" x14ac:dyDescent="0.25">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5" customHeight="1" x14ac:dyDescent="0.25">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5" customHeight="1" x14ac:dyDescent="0.25">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5" customHeight="1" x14ac:dyDescent="0.25">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5" customHeight="1" x14ac:dyDescent="0.25">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25">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215</v>
      </c>
      <c r="H38" s="51" t="s">
        <v>27</v>
      </c>
      <c r="I38" s="131" t="s">
        <v>216</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279</v>
      </c>
      <c r="C42" s="63" t="s">
        <v>12</v>
      </c>
      <c r="D42" s="146" t="s">
        <v>280</v>
      </c>
      <c r="E42" s="146"/>
      <c r="F42" s="146"/>
      <c r="G42" s="146"/>
      <c r="H42" s="146"/>
      <c r="I42" s="146"/>
      <c r="J42" s="146"/>
      <c r="K42" s="146"/>
      <c r="L42" s="146"/>
      <c r="M42" s="146"/>
      <c r="N42" s="146"/>
      <c r="O42" s="146"/>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115</v>
      </c>
      <c r="H44" s="63" t="s">
        <v>134</v>
      </c>
      <c r="I44" s="64" t="s">
        <v>135</v>
      </c>
      <c r="J44" s="64"/>
      <c r="K44" s="64"/>
      <c r="L44" s="64"/>
      <c r="M44" s="64"/>
      <c r="N44" s="64"/>
      <c r="O44" s="64"/>
    </row>
    <row r="45" spans="1:21" ht="15" customHeight="1" x14ac:dyDescent="0.25">
      <c r="B45" s="64"/>
      <c r="C45" s="64"/>
      <c r="D45" s="64" t="s">
        <v>171</v>
      </c>
      <c r="E45" s="65" t="s">
        <v>110</v>
      </c>
      <c r="F45" s="65" t="s">
        <v>111</v>
      </c>
      <c r="G45" s="65" t="s">
        <v>112</v>
      </c>
      <c r="H45" s="63" t="s">
        <v>134</v>
      </c>
      <c r="I45" s="64" t="s">
        <v>135</v>
      </c>
      <c r="J45" s="64"/>
      <c r="K45" s="64"/>
      <c r="L45" s="64"/>
      <c r="M45" s="140" t="s">
        <v>182</v>
      </c>
      <c r="N45" s="29"/>
      <c r="O45" s="33"/>
      <c r="P45" s="66" t="s">
        <v>864</v>
      </c>
      <c r="Q45" s="121"/>
      <c r="R45" s="121"/>
      <c r="S45" s="121"/>
      <c r="T45" s="121"/>
    </row>
    <row r="46" spans="1:21" x14ac:dyDescent="0.25">
      <c r="B46" s="64"/>
      <c r="C46" s="64"/>
      <c r="D46" s="64" t="s">
        <v>25</v>
      </c>
      <c r="E46" s="63" t="s">
        <v>73</v>
      </c>
      <c r="F46" s="63" t="s">
        <v>74</v>
      </c>
      <c r="G46" s="63" t="s">
        <v>287</v>
      </c>
      <c r="H46" s="63" t="s">
        <v>286</v>
      </c>
      <c r="I46" s="64" t="s">
        <v>134</v>
      </c>
      <c r="J46" s="63" t="s">
        <v>135</v>
      </c>
      <c r="K46" s="64"/>
      <c r="L46" s="64"/>
      <c r="M46" s="64"/>
      <c r="N46" s="64"/>
      <c r="O46" s="54" t="s">
        <v>281</v>
      </c>
    </row>
    <row r="47" spans="1:21" ht="14.45" customHeight="1" x14ac:dyDescent="0.25">
      <c r="B47" s="64"/>
      <c r="C47" s="64"/>
      <c r="D47" s="64" t="s">
        <v>203</v>
      </c>
      <c r="E47" s="63" t="s">
        <v>73</v>
      </c>
      <c r="F47" s="63" t="s">
        <v>74</v>
      </c>
      <c r="G47" s="63" t="s">
        <v>288</v>
      </c>
      <c r="H47" s="63" t="s">
        <v>204</v>
      </c>
      <c r="I47" s="64" t="s">
        <v>291</v>
      </c>
      <c r="J47" s="63" t="s">
        <v>134</v>
      </c>
      <c r="K47" s="63" t="s">
        <v>135</v>
      </c>
      <c r="L47" s="64"/>
      <c r="M47" s="64"/>
      <c r="N47" s="64"/>
      <c r="O47" s="54" t="s">
        <v>282</v>
      </c>
      <c r="P47" s="66" t="s">
        <v>863</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P1"/>
  <sheetViews>
    <sheetView zoomScale="75" zoomScaleNormal="85" workbookViewId="0">
      <selection activeCell="I2" sqref="I2"/>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6" x14ac:dyDescent="0.25">
      <c r="A1" t="s">
        <v>48</v>
      </c>
      <c r="B1" t="s">
        <v>3</v>
      </c>
      <c r="C1" t="s">
        <v>4</v>
      </c>
      <c r="D1" t="s">
        <v>33</v>
      </c>
      <c r="E1" t="s">
        <v>5</v>
      </c>
      <c r="F1" t="s">
        <v>6</v>
      </c>
      <c r="G1" t="s">
        <v>34</v>
      </c>
      <c r="H1" t="s">
        <v>15</v>
      </c>
      <c r="I1" t="s">
        <v>11</v>
      </c>
      <c r="J1" t="s">
        <v>47</v>
      </c>
      <c r="K1" t="s">
        <v>116</v>
      </c>
      <c r="L1" t="s">
        <v>236</v>
      </c>
      <c r="M1" t="s">
        <v>59</v>
      </c>
      <c r="N1" t="s">
        <v>35</v>
      </c>
      <c r="O1" s="60" t="s">
        <v>168</v>
      </c>
      <c r="P1" t="s">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5" x14ac:dyDescent="0.25"/>
  <cols>
    <col min="2" max="2" width="26.5703125" customWidth="1"/>
    <col min="3" max="3" width="9.5703125" customWidth="1"/>
    <col min="4" max="4" width="11" customWidth="1"/>
    <col min="7" max="7" width="28.28515625" customWidth="1"/>
    <col min="8" max="8" width="32.7109375" customWidth="1"/>
    <col min="9" max="9" width="40.5703125" customWidth="1"/>
    <col min="13" max="13" width="30.7109375" customWidth="1"/>
    <col min="14" max="14" width="27" customWidth="1"/>
    <col min="16" max="16" width="50.7109375" customWidth="1"/>
  </cols>
  <sheetData>
    <row r="1" spans="1:14" x14ac:dyDescent="0.25">
      <c r="A1" t="s">
        <v>124</v>
      </c>
      <c r="B1" t="s">
        <v>186</v>
      </c>
      <c r="C1" t="s">
        <v>426</v>
      </c>
      <c r="D1" t="s">
        <v>451</v>
      </c>
      <c r="E1" t="s">
        <v>494</v>
      </c>
      <c r="F1" t="s">
        <v>544</v>
      </c>
      <c r="G1" t="s">
        <v>584</v>
      </c>
      <c r="H1" t="s">
        <v>585</v>
      </c>
      <c r="I1" t="s">
        <v>632</v>
      </c>
      <c r="J1" t="s">
        <v>664</v>
      </c>
      <c r="K1" t="s">
        <v>727</v>
      </c>
      <c r="L1" t="s">
        <v>751</v>
      </c>
      <c r="M1" t="s">
        <v>784</v>
      </c>
      <c r="N1" t="s">
        <v>813</v>
      </c>
    </row>
    <row r="2" spans="1:14" x14ac:dyDescent="0.25">
      <c r="N2" t="s">
        <v>826</v>
      </c>
    </row>
    <row r="3" spans="1:14" x14ac:dyDescent="0.25">
      <c r="B3" t="s">
        <v>140</v>
      </c>
      <c r="C3" t="s">
        <v>427</v>
      </c>
      <c r="D3" t="s">
        <v>427</v>
      </c>
      <c r="E3" t="s">
        <v>427</v>
      </c>
      <c r="F3" t="s">
        <v>493</v>
      </c>
      <c r="G3" t="s">
        <v>627</v>
      </c>
      <c r="H3" t="s">
        <v>493</v>
      </c>
      <c r="I3" t="s">
        <v>627</v>
      </c>
      <c r="J3" t="s">
        <v>646</v>
      </c>
      <c r="K3" t="s">
        <v>627</v>
      </c>
      <c r="L3" t="s">
        <v>743</v>
      </c>
      <c r="M3" t="s">
        <v>627</v>
      </c>
    </row>
    <row r="4" spans="1:14" x14ac:dyDescent="0.25">
      <c r="B4" t="s">
        <v>141</v>
      </c>
      <c r="C4" t="s">
        <v>428</v>
      </c>
      <c r="D4" t="s">
        <v>428</v>
      </c>
      <c r="E4" t="s">
        <v>428</v>
      </c>
      <c r="K4" t="s">
        <v>728</v>
      </c>
      <c r="L4" t="s">
        <v>627</v>
      </c>
      <c r="M4" t="s">
        <v>785</v>
      </c>
      <c r="N4" t="s">
        <v>827</v>
      </c>
    </row>
    <row r="5" spans="1:14" x14ac:dyDescent="0.25">
      <c r="B5" t="s">
        <v>142</v>
      </c>
      <c r="C5" t="s">
        <v>429</v>
      </c>
      <c r="D5" t="s">
        <v>429</v>
      </c>
      <c r="E5" t="s">
        <v>429</v>
      </c>
      <c r="F5" t="s">
        <v>545</v>
      </c>
      <c r="G5" t="s">
        <v>586</v>
      </c>
      <c r="H5" t="s">
        <v>586</v>
      </c>
      <c r="J5" t="s">
        <v>427</v>
      </c>
      <c r="K5" t="s">
        <v>729</v>
      </c>
      <c r="L5" t="s">
        <v>528</v>
      </c>
      <c r="M5" t="s">
        <v>786</v>
      </c>
      <c r="N5" t="s">
        <v>828</v>
      </c>
    </row>
    <row r="6" spans="1:14" x14ac:dyDescent="0.25">
      <c r="B6" t="s">
        <v>143</v>
      </c>
      <c r="C6" t="s">
        <v>430</v>
      </c>
      <c r="D6" t="s">
        <v>430</v>
      </c>
      <c r="E6" t="s">
        <v>430</v>
      </c>
      <c r="F6" t="s">
        <v>546</v>
      </c>
      <c r="G6" t="s">
        <v>587</v>
      </c>
      <c r="H6" t="s">
        <v>587</v>
      </c>
      <c r="I6" t="s">
        <v>628</v>
      </c>
      <c r="J6" t="s">
        <v>428</v>
      </c>
      <c r="K6" t="s">
        <v>730</v>
      </c>
      <c r="L6" t="s">
        <v>597</v>
      </c>
      <c r="M6" t="s">
        <v>787</v>
      </c>
      <c r="N6" t="s">
        <v>829</v>
      </c>
    </row>
    <row r="7" spans="1:14" x14ac:dyDescent="0.25">
      <c r="B7" t="s">
        <v>144</v>
      </c>
      <c r="C7" t="s">
        <v>431</v>
      </c>
      <c r="D7" t="s">
        <v>431</v>
      </c>
      <c r="E7" t="s">
        <v>431</v>
      </c>
      <c r="F7" t="s">
        <v>547</v>
      </c>
      <c r="G7" t="s">
        <v>589</v>
      </c>
      <c r="H7" t="s">
        <v>588</v>
      </c>
      <c r="J7" t="s">
        <v>429</v>
      </c>
      <c r="K7" t="s">
        <v>731</v>
      </c>
      <c r="L7" t="s">
        <v>725</v>
      </c>
      <c r="M7" t="s">
        <v>788</v>
      </c>
      <c r="N7" t="s">
        <v>830</v>
      </c>
    </row>
    <row r="8" spans="1:14" x14ac:dyDescent="0.25">
      <c r="B8" t="s">
        <v>493</v>
      </c>
      <c r="C8" t="s">
        <v>432</v>
      </c>
      <c r="D8" t="s">
        <v>432</v>
      </c>
      <c r="E8" t="s">
        <v>432</v>
      </c>
      <c r="F8" t="s">
        <v>548</v>
      </c>
      <c r="G8" t="s">
        <v>590</v>
      </c>
      <c r="H8" t="s">
        <v>589</v>
      </c>
      <c r="I8" t="s">
        <v>699</v>
      </c>
      <c r="J8" t="s">
        <v>430</v>
      </c>
      <c r="K8" t="s">
        <v>732</v>
      </c>
      <c r="L8" t="s">
        <v>744</v>
      </c>
      <c r="M8" t="s">
        <v>789</v>
      </c>
      <c r="N8" t="s">
        <v>831</v>
      </c>
    </row>
    <row r="9" spans="1:14" x14ac:dyDescent="0.25">
      <c r="B9" t="s">
        <v>100</v>
      </c>
      <c r="C9" t="s">
        <v>433</v>
      </c>
      <c r="D9" t="s">
        <v>433</v>
      </c>
      <c r="E9" t="s">
        <v>433</v>
      </c>
      <c r="F9" t="s">
        <v>549</v>
      </c>
      <c r="G9" t="s">
        <v>591</v>
      </c>
      <c r="H9" t="s">
        <v>590</v>
      </c>
      <c r="I9" s="133" t="s">
        <v>700</v>
      </c>
      <c r="L9" t="str">
        <f>CONCATENATE("M140 S",BedTemp)</f>
        <v>M140 S60</v>
      </c>
      <c r="M9" t="s">
        <v>790</v>
      </c>
      <c r="N9" t="s">
        <v>549</v>
      </c>
    </row>
    <row r="10" spans="1:14" x14ac:dyDescent="0.25">
      <c r="B10" t="s">
        <v>145</v>
      </c>
      <c r="C10" t="s">
        <v>434</v>
      </c>
      <c r="D10" t="s">
        <v>452</v>
      </c>
      <c r="E10" t="s">
        <v>495</v>
      </c>
      <c r="G10" t="s">
        <v>713</v>
      </c>
      <c r="H10" t="s">
        <v>591</v>
      </c>
      <c r="I10" t="s">
        <v>701</v>
      </c>
      <c r="J10" t="s">
        <v>647</v>
      </c>
      <c r="K10" t="s">
        <v>733</v>
      </c>
      <c r="M10" t="s">
        <v>791</v>
      </c>
      <c r="N10" t="s">
        <v>85</v>
      </c>
    </row>
    <row r="11" spans="1:14" x14ac:dyDescent="0.25">
      <c r="B11" t="s">
        <v>146</v>
      </c>
      <c r="C11" t="s">
        <v>435</v>
      </c>
      <c r="D11" t="s">
        <v>453</v>
      </c>
      <c r="E11" t="s">
        <v>496</v>
      </c>
      <c r="G11" t="s">
        <v>714</v>
      </c>
      <c r="H11" t="s">
        <v>611</v>
      </c>
      <c r="I11" t="s">
        <v>702</v>
      </c>
      <c r="J11" t="s">
        <v>648</v>
      </c>
      <c r="K11" t="s">
        <v>499</v>
      </c>
      <c r="M11" t="s">
        <v>792</v>
      </c>
      <c r="N11" t="s">
        <v>725</v>
      </c>
    </row>
    <row r="12" spans="1:14" x14ac:dyDescent="0.25">
      <c r="B12" t="s">
        <v>147</v>
      </c>
      <c r="C12" t="s">
        <v>436</v>
      </c>
      <c r="D12" t="s">
        <v>454</v>
      </c>
      <c r="E12" t="s">
        <v>497</v>
      </c>
      <c r="F12" t="s">
        <v>550</v>
      </c>
      <c r="G12" t="s">
        <v>592</v>
      </c>
      <c r="H12" t="s">
        <v>612</v>
      </c>
      <c r="I12" t="s">
        <v>697</v>
      </c>
      <c r="J12" t="s">
        <v>649</v>
      </c>
      <c r="K12" t="s">
        <v>126</v>
      </c>
      <c r="L12" t="s">
        <v>745</v>
      </c>
      <c r="M12" t="s">
        <v>793</v>
      </c>
      <c r="N12" t="s">
        <v>832</v>
      </c>
    </row>
    <row r="13" spans="1:14" ht="30" x14ac:dyDescent="0.25">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25">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25">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25">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25">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25">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25">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25">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25">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25">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25">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25">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25">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25">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25">
      <c r="C27" t="s">
        <v>440</v>
      </c>
      <c r="E27" t="s">
        <v>501</v>
      </c>
      <c r="F27" t="s">
        <v>560</v>
      </c>
      <c r="G27" t="s">
        <v>598</v>
      </c>
      <c r="I27" t="s">
        <v>633</v>
      </c>
      <c r="J27" t="str">
        <f>CONCATENATE("M104 S",NozzleTemp)</f>
        <v>M104 S210</v>
      </c>
      <c r="M27" t="s">
        <v>812</v>
      </c>
      <c r="N27" t="s">
        <v>841</v>
      </c>
    </row>
    <row r="28" spans="2:14" x14ac:dyDescent="0.25">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25">
      <c r="C29" t="s">
        <v>442</v>
      </c>
      <c r="D29" t="s">
        <v>439</v>
      </c>
      <c r="E29" t="s">
        <v>503</v>
      </c>
      <c r="F29" t="s">
        <v>562</v>
      </c>
      <c r="G29" t="s">
        <v>720</v>
      </c>
      <c r="I29" t="str">
        <f>CONCATENATE("M106 S",FanSpeed, " ; set fan speed")</f>
        <v>M106 S0 ; set fan speed</v>
      </c>
      <c r="J29" t="s">
        <v>499</v>
      </c>
      <c r="M29" t="s">
        <v>597</v>
      </c>
    </row>
    <row r="30" spans="2:14" x14ac:dyDescent="0.25">
      <c r="B30" t="s">
        <v>159</v>
      </c>
      <c r="C30" t="s">
        <v>443</v>
      </c>
      <c r="D30" t="s">
        <v>440</v>
      </c>
      <c r="E30" t="s">
        <v>504</v>
      </c>
      <c r="F30" t="s">
        <v>563</v>
      </c>
      <c r="G30" t="s">
        <v>721</v>
      </c>
      <c r="H30" t="s">
        <v>606</v>
      </c>
      <c r="J30" t="s">
        <v>659</v>
      </c>
      <c r="K30" t="s">
        <v>127</v>
      </c>
      <c r="M30" t="s">
        <v>100</v>
      </c>
      <c r="N30" t="s">
        <v>566</v>
      </c>
    </row>
    <row r="31" spans="2:14" x14ac:dyDescent="0.25">
      <c r="D31" t="s">
        <v>441</v>
      </c>
      <c r="E31" t="s">
        <v>505</v>
      </c>
      <c r="F31" t="s">
        <v>564</v>
      </c>
      <c r="G31" t="s">
        <v>83</v>
      </c>
      <c r="H31" t="s">
        <v>633</v>
      </c>
      <c r="I31" t="s">
        <v>704</v>
      </c>
      <c r="J31" t="s">
        <v>660</v>
      </c>
      <c r="K31" t="s">
        <v>739</v>
      </c>
      <c r="L31" t="s">
        <v>127</v>
      </c>
      <c r="N31" t="s">
        <v>550</v>
      </c>
    </row>
    <row r="32" spans="2:14" x14ac:dyDescent="0.25">
      <c r="B32" t="s">
        <v>92</v>
      </c>
      <c r="C32" t="s">
        <v>145</v>
      </c>
      <c r="D32" t="s">
        <v>442</v>
      </c>
      <c r="E32" t="s">
        <v>506</v>
      </c>
      <c r="F32" t="s">
        <v>556</v>
      </c>
      <c r="G32" t="s">
        <v>602</v>
      </c>
      <c r="H32" t="s">
        <v>607</v>
      </c>
      <c r="J32" t="str">
        <f>CONCATENATE("M109 S",NozzleTemp)</f>
        <v>M109 S210</v>
      </c>
      <c r="K32" t="s">
        <v>127</v>
      </c>
      <c r="N32" t="s">
        <v>842</v>
      </c>
    </row>
    <row r="33" spans="2:14" x14ac:dyDescent="0.25">
      <c r="B33" t="s">
        <v>127</v>
      </c>
      <c r="D33" t="s">
        <v>443</v>
      </c>
      <c r="E33" t="s">
        <v>507</v>
      </c>
      <c r="G33" t="s">
        <v>722</v>
      </c>
      <c r="H33" t="s">
        <v>608</v>
      </c>
      <c r="I33" t="s">
        <v>629</v>
      </c>
      <c r="J33" t="str">
        <f>CONCATENATE("M190 S",BedTemp)</f>
        <v>M190 S60</v>
      </c>
      <c r="K33" t="s">
        <v>127</v>
      </c>
      <c r="M33" t="s">
        <v>83</v>
      </c>
      <c r="N33" t="s">
        <v>83</v>
      </c>
    </row>
    <row r="34" spans="2:14" x14ac:dyDescent="0.25">
      <c r="B34" t="s">
        <v>152</v>
      </c>
      <c r="C34" t="s">
        <v>444</v>
      </c>
      <c r="E34" t="s">
        <v>508</v>
      </c>
      <c r="F34" t="s">
        <v>565</v>
      </c>
      <c r="G34" t="s">
        <v>603</v>
      </c>
      <c r="H34" t="s">
        <v>609</v>
      </c>
      <c r="I34" t="s">
        <v>630</v>
      </c>
      <c r="J34" t="s">
        <v>661</v>
      </c>
      <c r="M34" t="str">
        <f>CONCATENATE("M140 S",BedTemp)</f>
        <v>M140 S60</v>
      </c>
    </row>
    <row r="35" spans="2:14" x14ac:dyDescent="0.25">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25">
      <c r="C36" t="s">
        <v>446</v>
      </c>
      <c r="D36" t="s">
        <v>455</v>
      </c>
      <c r="E36" t="s">
        <v>510</v>
      </c>
      <c r="F36" t="s">
        <v>550</v>
      </c>
      <c r="H36" t="s">
        <v>598</v>
      </c>
      <c r="I36" t="s">
        <v>631</v>
      </c>
      <c r="J36" t="s">
        <v>661</v>
      </c>
      <c r="M36" t="s">
        <v>807</v>
      </c>
      <c r="N36" t="s">
        <v>843</v>
      </c>
    </row>
    <row r="37" spans="2:14" x14ac:dyDescent="0.25">
      <c r="C37" t="s">
        <v>447</v>
      </c>
      <c r="D37" t="s">
        <v>456</v>
      </c>
      <c r="E37" t="s">
        <v>511</v>
      </c>
      <c r="F37" t="s">
        <v>567</v>
      </c>
      <c r="H37" t="s">
        <v>599</v>
      </c>
      <c r="J37" t="s">
        <v>663</v>
      </c>
      <c r="M37" t="s">
        <v>808</v>
      </c>
      <c r="N37" t="s">
        <v>844</v>
      </c>
    </row>
    <row r="38" spans="2:14" x14ac:dyDescent="0.25">
      <c r="C38" t="s">
        <v>448</v>
      </c>
      <c r="D38" t="s">
        <v>457</v>
      </c>
      <c r="E38" t="s">
        <v>83</v>
      </c>
      <c r="F38" t="s">
        <v>568</v>
      </c>
      <c r="H38" t="s">
        <v>83</v>
      </c>
      <c r="J38" t="s">
        <v>663</v>
      </c>
      <c r="M38" t="s">
        <v>809</v>
      </c>
      <c r="N38" t="s">
        <v>83</v>
      </c>
    </row>
    <row r="39" spans="2:14" x14ac:dyDescent="0.25">
      <c r="C39" t="s">
        <v>449</v>
      </c>
      <c r="D39" t="s">
        <v>458</v>
      </c>
      <c r="E39" t="s">
        <v>83</v>
      </c>
      <c r="G39" t="s">
        <v>723</v>
      </c>
      <c r="H39" t="s">
        <v>600</v>
      </c>
      <c r="I39" t="s">
        <v>152</v>
      </c>
      <c r="N39" t="s">
        <v>845</v>
      </c>
    </row>
    <row r="40" spans="2:14" x14ac:dyDescent="0.25">
      <c r="C40" t="s">
        <v>444</v>
      </c>
      <c r="D40" t="s">
        <v>459</v>
      </c>
      <c r="G40" t="s">
        <v>724</v>
      </c>
      <c r="H40" t="s">
        <v>83</v>
      </c>
      <c r="M40" t="str">
        <f>CONCATENATE("M106 S",FanSpeed, " ; set fan speed")</f>
        <v>M106 S0 ; set fan speed</v>
      </c>
    </row>
    <row r="41" spans="2:14" x14ac:dyDescent="0.25">
      <c r="C41" t="s">
        <v>445</v>
      </c>
      <c r="D41" t="s">
        <v>460</v>
      </c>
      <c r="E41" t="str">
        <f>CONCATENATE("M106 S",FanSpeed, " ; set fan speed")</f>
        <v>M106 S0 ; set fan speed</v>
      </c>
      <c r="F41" t="s">
        <v>556</v>
      </c>
      <c r="G41" t="s">
        <v>725</v>
      </c>
      <c r="H41" t="s">
        <v>601</v>
      </c>
      <c r="J41" t="s">
        <v>613</v>
      </c>
      <c r="N41" t="s">
        <v>846</v>
      </c>
    </row>
    <row r="42" spans="2:14" x14ac:dyDescent="0.25">
      <c r="D42" t="s">
        <v>455</v>
      </c>
      <c r="E42" t="s">
        <v>513</v>
      </c>
      <c r="H42" t="s">
        <v>597</v>
      </c>
      <c r="M42" t="s">
        <v>810</v>
      </c>
      <c r="N42" t="s">
        <v>573</v>
      </c>
    </row>
    <row r="43" spans="2:14" x14ac:dyDescent="0.25">
      <c r="C43" t="s">
        <v>83</v>
      </c>
      <c r="D43" t="s">
        <v>461</v>
      </c>
      <c r="E43" t="s">
        <v>514</v>
      </c>
      <c r="F43" t="s">
        <v>569</v>
      </c>
      <c r="G43" t="s">
        <v>152</v>
      </c>
      <c r="H43" t="s">
        <v>83</v>
      </c>
      <c r="J43" t="str">
        <f>CONCATENATE("M106 S",FanSpeed, " ; set fan speed")</f>
        <v>M106 S0 ; set fan speed</v>
      </c>
      <c r="M43" t="s">
        <v>811</v>
      </c>
      <c r="N43" t="s">
        <v>847</v>
      </c>
    </row>
    <row r="44" spans="2:14" x14ac:dyDescent="0.25">
      <c r="D44" t="s">
        <v>83</v>
      </c>
      <c r="E44" t="s">
        <v>515</v>
      </c>
      <c r="H44" t="s">
        <v>600</v>
      </c>
      <c r="N44" t="s">
        <v>848</v>
      </c>
    </row>
    <row r="45" spans="2:14" x14ac:dyDescent="0.25">
      <c r="H45" t="s">
        <v>83</v>
      </c>
      <c r="N45" t="s">
        <v>83</v>
      </c>
    </row>
    <row r="46" spans="2:14" x14ac:dyDescent="0.25">
      <c r="D46" t="str">
        <f>CONCATENATE("M106 S",FanSpeed, " ; set fan speed")</f>
        <v>M106 S0 ; set fan speed</v>
      </c>
      <c r="E46" t="s">
        <v>450</v>
      </c>
      <c r="F46" t="s">
        <v>570</v>
      </c>
      <c r="H46" t="s">
        <v>602</v>
      </c>
      <c r="J46" t="s">
        <v>450</v>
      </c>
      <c r="M46" t="s">
        <v>725</v>
      </c>
    </row>
    <row r="47" spans="2:14" x14ac:dyDescent="0.25">
      <c r="C47" t="str">
        <f>CONCATENATE("M106 S",FanSpeed, " ; set fan speed")</f>
        <v>M106 S0 ; set fan speed</v>
      </c>
      <c r="F47" t="s">
        <v>571</v>
      </c>
      <c r="H47" t="s">
        <v>510</v>
      </c>
      <c r="N47" t="s">
        <v>725</v>
      </c>
    </row>
    <row r="48" spans="2:14" x14ac:dyDescent="0.25">
      <c r="D48" t="s">
        <v>126</v>
      </c>
      <c r="E48" t="s">
        <v>126</v>
      </c>
      <c r="F48" t="s">
        <v>572</v>
      </c>
      <c r="J48" t="s">
        <v>152</v>
      </c>
      <c r="M48" t="s">
        <v>152</v>
      </c>
    </row>
    <row r="49" spans="3:14" x14ac:dyDescent="0.25">
      <c r="C49" t="s">
        <v>126</v>
      </c>
      <c r="D49" t="s">
        <v>450</v>
      </c>
      <c r="F49" t="s">
        <v>573</v>
      </c>
      <c r="H49" t="str">
        <f>CONCATENATE("M106 S",FanSpeed, " ; set fan speed")</f>
        <v>M106 S0 ; set fan speed</v>
      </c>
      <c r="N49" t="s">
        <v>849</v>
      </c>
    </row>
    <row r="50" spans="3:14" x14ac:dyDescent="0.25">
      <c r="C50" t="s">
        <v>450</v>
      </c>
      <c r="E50" t="s">
        <v>516</v>
      </c>
      <c r="F50" t="s">
        <v>574</v>
      </c>
    </row>
    <row r="51" spans="3:14" x14ac:dyDescent="0.25">
      <c r="D51" t="s">
        <v>152</v>
      </c>
      <c r="E51" t="s">
        <v>517</v>
      </c>
      <c r="H51" t="s">
        <v>450</v>
      </c>
    </row>
    <row r="52" spans="3:14" x14ac:dyDescent="0.25">
      <c r="H52" t="s">
        <v>613</v>
      </c>
    </row>
    <row r="53" spans="3:14" x14ac:dyDescent="0.25">
      <c r="E53" t="s">
        <v>152</v>
      </c>
      <c r="F53" t="str">
        <f>CONCATENATE("M106 S",FanSpeed, " ; set fan speed")</f>
        <v>M106 S0 ; set fan speed</v>
      </c>
      <c r="J53" t="s">
        <v>127</v>
      </c>
      <c r="N53" t="s">
        <v>127</v>
      </c>
    </row>
    <row r="54" spans="3:14" x14ac:dyDescent="0.25">
      <c r="C54" t="s">
        <v>152</v>
      </c>
      <c r="H54" t="s">
        <v>603</v>
      </c>
    </row>
    <row r="55" spans="3:14" x14ac:dyDescent="0.25">
      <c r="F55" t="s">
        <v>152</v>
      </c>
      <c r="H55" t="s">
        <v>152</v>
      </c>
    </row>
    <row r="57" spans="3:14" x14ac:dyDescent="0.25">
      <c r="E57" t="s">
        <v>127</v>
      </c>
    </row>
    <row r="58" spans="3:14" x14ac:dyDescent="0.25">
      <c r="C58" t="s">
        <v>127</v>
      </c>
      <c r="F58" t="s">
        <v>127</v>
      </c>
      <c r="H58" t="s">
        <v>127</v>
      </c>
    </row>
    <row r="62" spans="3:14" x14ac:dyDescent="0.25">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5" x14ac:dyDescent="0.25"/>
  <cols>
    <col min="4" max="4" width="11" customWidth="1"/>
    <col min="7" max="8" width="28.28515625" customWidth="1"/>
    <col min="12" max="12" width="24.7109375" bestFit="1" customWidth="1"/>
    <col min="13" max="13" width="47.5703125" customWidth="1"/>
    <col min="14" max="14" width="9.7109375" customWidth="1"/>
  </cols>
  <sheetData>
    <row r="1" spans="1:14" x14ac:dyDescent="0.25">
      <c r="A1" t="s">
        <v>128</v>
      </c>
      <c r="B1" t="s">
        <v>156</v>
      </c>
      <c r="C1" t="s">
        <v>426</v>
      </c>
      <c r="D1" t="s">
        <v>451</v>
      </c>
      <c r="E1" t="s">
        <v>494</v>
      </c>
      <c r="F1" t="s">
        <v>544</v>
      </c>
      <c r="G1" t="s">
        <v>584</v>
      </c>
      <c r="H1" t="s">
        <v>585</v>
      </c>
      <c r="I1" t="s">
        <v>632</v>
      </c>
      <c r="J1" t="s">
        <v>664</v>
      </c>
      <c r="K1" t="s">
        <v>727</v>
      </c>
      <c r="L1" t="s">
        <v>751</v>
      </c>
      <c r="M1" t="s">
        <v>784</v>
      </c>
      <c r="N1" t="s">
        <v>813</v>
      </c>
    </row>
    <row r="2" spans="1:14" x14ac:dyDescent="0.25">
      <c r="N2" t="s">
        <v>127</v>
      </c>
    </row>
    <row r="3" spans="1:14" x14ac:dyDescent="0.25">
      <c r="B3" t="s">
        <v>139</v>
      </c>
      <c r="C3" t="s">
        <v>139</v>
      </c>
      <c r="D3" t="s">
        <v>139</v>
      </c>
      <c r="E3" t="s">
        <v>139</v>
      </c>
      <c r="F3" t="s">
        <v>139</v>
      </c>
      <c r="G3" t="s">
        <v>139</v>
      </c>
      <c r="H3" t="s">
        <v>139</v>
      </c>
      <c r="I3" t="s">
        <v>139</v>
      </c>
      <c r="J3" t="s">
        <v>139</v>
      </c>
      <c r="K3" t="s">
        <v>139</v>
      </c>
      <c r="L3" t="s">
        <v>139</v>
      </c>
      <c r="M3" t="s">
        <v>139</v>
      </c>
    </row>
    <row r="4" spans="1:14" x14ac:dyDescent="0.25">
      <c r="G4" t="s">
        <v>127</v>
      </c>
    </row>
    <row r="5" spans="1:14" x14ac:dyDescent="0.25">
      <c r="B5" t="s">
        <v>160</v>
      </c>
      <c r="E5" t="s">
        <v>512</v>
      </c>
      <c r="H5" t="s">
        <v>604</v>
      </c>
    </row>
    <row r="6" spans="1:14" x14ac:dyDescent="0.25">
      <c r="B6" t="s">
        <v>85</v>
      </c>
      <c r="C6" t="s">
        <v>462</v>
      </c>
      <c r="D6" t="s">
        <v>462</v>
      </c>
      <c r="E6" t="s">
        <v>463</v>
      </c>
      <c r="F6" t="s">
        <v>575</v>
      </c>
      <c r="G6" t="s">
        <v>604</v>
      </c>
      <c r="H6" t="s">
        <v>621</v>
      </c>
      <c r="N6" t="s">
        <v>814</v>
      </c>
    </row>
    <row r="7" spans="1:14" x14ac:dyDescent="0.25">
      <c r="C7" t="s">
        <v>463</v>
      </c>
      <c r="D7" t="s">
        <v>463</v>
      </c>
      <c r="E7" t="s">
        <v>518</v>
      </c>
      <c r="G7" t="s">
        <v>83</v>
      </c>
      <c r="I7" t="s">
        <v>634</v>
      </c>
      <c r="J7" t="s">
        <v>696</v>
      </c>
      <c r="K7" t="s">
        <v>665</v>
      </c>
      <c r="L7" t="s">
        <v>752</v>
      </c>
      <c r="M7" t="s">
        <v>760</v>
      </c>
      <c r="N7" t="s">
        <v>815</v>
      </c>
    </row>
    <row r="8" spans="1:14" x14ac:dyDescent="0.25">
      <c r="B8" t="s">
        <v>137</v>
      </c>
      <c r="C8" t="s">
        <v>85</v>
      </c>
      <c r="D8" t="s">
        <v>85</v>
      </c>
      <c r="E8" t="s">
        <v>519</v>
      </c>
      <c r="G8" t="s">
        <v>635</v>
      </c>
      <c r="I8" t="s">
        <v>635</v>
      </c>
      <c r="K8" t="s">
        <v>499</v>
      </c>
      <c r="L8" t="s">
        <v>753</v>
      </c>
      <c r="N8" t="s">
        <v>816</v>
      </c>
    </row>
    <row r="9" spans="1:14" x14ac:dyDescent="0.25">
      <c r="B9" t="s">
        <v>100</v>
      </c>
      <c r="C9" t="s">
        <v>464</v>
      </c>
      <c r="D9" t="s">
        <v>464</v>
      </c>
      <c r="E9" t="s">
        <v>85</v>
      </c>
      <c r="F9" t="s">
        <v>464</v>
      </c>
      <c r="G9" t="s">
        <v>726</v>
      </c>
      <c r="H9" t="s">
        <v>614</v>
      </c>
      <c r="I9" t="s">
        <v>636</v>
      </c>
      <c r="J9" t="s">
        <v>463</v>
      </c>
      <c r="K9" t="s">
        <v>740</v>
      </c>
      <c r="L9" t="s">
        <v>597</v>
      </c>
      <c r="M9" t="s">
        <v>761</v>
      </c>
      <c r="N9" t="s">
        <v>85</v>
      </c>
    </row>
    <row r="10" spans="1:14" x14ac:dyDescent="0.25">
      <c r="B10" t="s">
        <v>101</v>
      </c>
      <c r="C10" t="s">
        <v>465</v>
      </c>
      <c r="D10" t="s">
        <v>465</v>
      </c>
      <c r="E10" t="s">
        <v>520</v>
      </c>
      <c r="F10" t="s">
        <v>576</v>
      </c>
      <c r="G10" t="s">
        <v>528</v>
      </c>
      <c r="H10" t="s">
        <v>615</v>
      </c>
      <c r="I10" t="s">
        <v>528</v>
      </c>
      <c r="J10" t="s">
        <v>85</v>
      </c>
      <c r="K10" t="s">
        <v>527</v>
      </c>
      <c r="L10" t="s">
        <v>754</v>
      </c>
      <c r="N10" t="s">
        <v>817</v>
      </c>
    </row>
    <row r="11" spans="1:14" x14ac:dyDescent="0.25">
      <c r="B11" t="s">
        <v>127</v>
      </c>
      <c r="C11" t="s">
        <v>466</v>
      </c>
      <c r="D11" t="s">
        <v>466</v>
      </c>
      <c r="E11" t="s">
        <v>521</v>
      </c>
      <c r="F11" t="s">
        <v>469</v>
      </c>
      <c r="G11" t="s">
        <v>614</v>
      </c>
      <c r="H11" t="s">
        <v>83</v>
      </c>
      <c r="I11" t="s">
        <v>637</v>
      </c>
      <c r="J11" t="s">
        <v>665</v>
      </c>
      <c r="K11" t="s">
        <v>665</v>
      </c>
      <c r="L11" t="s">
        <v>599</v>
      </c>
      <c r="N11" t="s">
        <v>521</v>
      </c>
    </row>
    <row r="12" spans="1:14" x14ac:dyDescent="0.25">
      <c r="B12" t="s">
        <v>127</v>
      </c>
      <c r="C12" t="s">
        <v>467</v>
      </c>
      <c r="D12" t="s">
        <v>467</v>
      </c>
      <c r="E12" t="s">
        <v>522</v>
      </c>
      <c r="G12" t="s">
        <v>83</v>
      </c>
      <c r="H12" t="s">
        <v>616</v>
      </c>
      <c r="I12" t="s">
        <v>638</v>
      </c>
      <c r="J12" t="s">
        <v>666</v>
      </c>
      <c r="K12" t="s">
        <v>741</v>
      </c>
      <c r="L12" t="s">
        <v>755</v>
      </c>
      <c r="M12" t="s">
        <v>463</v>
      </c>
      <c r="N12" t="s">
        <v>522</v>
      </c>
    </row>
    <row r="13" spans="1:14" x14ac:dyDescent="0.25">
      <c r="B13" t="s">
        <v>127</v>
      </c>
      <c r="C13" t="s">
        <v>468</v>
      </c>
      <c r="D13" t="s">
        <v>468</v>
      </c>
      <c r="E13" t="s">
        <v>85</v>
      </c>
      <c r="F13" t="s">
        <v>577</v>
      </c>
      <c r="G13" t="s">
        <v>616</v>
      </c>
      <c r="H13" t="s">
        <v>614</v>
      </c>
      <c r="J13" t="s">
        <v>499</v>
      </c>
      <c r="K13" t="s">
        <v>742</v>
      </c>
      <c r="L13" t="s">
        <v>604</v>
      </c>
      <c r="M13" t="s">
        <v>513</v>
      </c>
      <c r="N13" t="s">
        <v>818</v>
      </c>
    </row>
    <row r="14" spans="1:14" x14ac:dyDescent="0.25">
      <c r="C14" t="s">
        <v>469</v>
      </c>
      <c r="D14" t="s">
        <v>469</v>
      </c>
      <c r="E14" t="s">
        <v>523</v>
      </c>
      <c r="G14" t="s">
        <v>617</v>
      </c>
      <c r="H14" t="s">
        <v>615</v>
      </c>
      <c r="J14" t="s">
        <v>661</v>
      </c>
      <c r="K14" t="s">
        <v>100</v>
      </c>
      <c r="M14" t="s">
        <v>519</v>
      </c>
      <c r="N14" t="s">
        <v>819</v>
      </c>
    </row>
    <row r="15" spans="1:14" x14ac:dyDescent="0.25">
      <c r="B15" t="s">
        <v>93</v>
      </c>
      <c r="E15" t="s">
        <v>524</v>
      </c>
      <c r="F15" t="s">
        <v>578</v>
      </c>
      <c r="G15" t="s">
        <v>614</v>
      </c>
      <c r="H15" t="s">
        <v>617</v>
      </c>
      <c r="I15" t="s">
        <v>639</v>
      </c>
      <c r="J15" t="s">
        <v>524</v>
      </c>
      <c r="K15" t="s">
        <v>101</v>
      </c>
      <c r="L15" t="s">
        <v>597</v>
      </c>
      <c r="M15" t="s">
        <v>85</v>
      </c>
    </row>
    <row r="16" spans="1:14" x14ac:dyDescent="0.25">
      <c r="B16" t="s">
        <v>94</v>
      </c>
      <c r="C16" t="s">
        <v>470</v>
      </c>
      <c r="D16" t="s">
        <v>484</v>
      </c>
      <c r="E16" t="s">
        <v>543</v>
      </c>
      <c r="F16" t="s">
        <v>579</v>
      </c>
      <c r="G16" t="s">
        <v>475</v>
      </c>
      <c r="H16" t="s">
        <v>618</v>
      </c>
      <c r="I16" t="s">
        <v>640</v>
      </c>
      <c r="J16" t="s">
        <v>667</v>
      </c>
      <c r="L16" t="s">
        <v>635</v>
      </c>
      <c r="M16" t="s">
        <v>762</v>
      </c>
      <c r="N16" t="s">
        <v>820</v>
      </c>
    </row>
    <row r="17" spans="2:14" x14ac:dyDescent="0.25">
      <c r="B17" t="s">
        <v>95</v>
      </c>
      <c r="C17" t="s">
        <v>471</v>
      </c>
      <c r="D17" t="s">
        <v>471</v>
      </c>
      <c r="E17" t="s">
        <v>525</v>
      </c>
      <c r="F17" t="s">
        <v>580</v>
      </c>
      <c r="G17" t="s">
        <v>463</v>
      </c>
      <c r="H17" t="s">
        <v>463</v>
      </c>
      <c r="I17" t="s">
        <v>641</v>
      </c>
      <c r="J17" t="s">
        <v>668</v>
      </c>
      <c r="L17" t="s">
        <v>756</v>
      </c>
      <c r="M17" t="s">
        <v>763</v>
      </c>
      <c r="N17" t="s">
        <v>821</v>
      </c>
    </row>
    <row r="18" spans="2:14" x14ac:dyDescent="0.25">
      <c r="B18" t="s">
        <v>96</v>
      </c>
      <c r="C18" t="s">
        <v>472</v>
      </c>
      <c r="D18" t="s">
        <v>472</v>
      </c>
      <c r="E18" t="s">
        <v>526</v>
      </c>
      <c r="F18" t="s">
        <v>581</v>
      </c>
      <c r="G18" t="s">
        <v>85</v>
      </c>
      <c r="H18" t="s">
        <v>85</v>
      </c>
      <c r="J18" t="s">
        <v>100</v>
      </c>
      <c r="L18" t="s">
        <v>757</v>
      </c>
      <c r="M18" t="s">
        <v>764</v>
      </c>
      <c r="N18" t="s">
        <v>822</v>
      </c>
    </row>
    <row r="19" spans="2:14" x14ac:dyDescent="0.25">
      <c r="B19" t="s">
        <v>97</v>
      </c>
      <c r="C19" t="s">
        <v>473</v>
      </c>
      <c r="D19" t="s">
        <v>473</v>
      </c>
      <c r="E19" t="s">
        <v>527</v>
      </c>
      <c r="F19" t="s">
        <v>582</v>
      </c>
      <c r="G19" t="s">
        <v>635</v>
      </c>
      <c r="H19" t="s">
        <v>464</v>
      </c>
      <c r="J19" t="s">
        <v>475</v>
      </c>
      <c r="L19" t="s">
        <v>528</v>
      </c>
      <c r="M19" t="s">
        <v>765</v>
      </c>
      <c r="N19" t="s">
        <v>823</v>
      </c>
    </row>
    <row r="20" spans="2:14" x14ac:dyDescent="0.25">
      <c r="B20" t="s">
        <v>98</v>
      </c>
      <c r="E20" t="s">
        <v>528</v>
      </c>
      <c r="F20" t="s">
        <v>522</v>
      </c>
      <c r="G20" t="s">
        <v>620</v>
      </c>
      <c r="H20" t="s">
        <v>619</v>
      </c>
      <c r="J20" t="s">
        <v>101</v>
      </c>
      <c r="L20" t="s">
        <v>758</v>
      </c>
      <c r="M20" t="s">
        <v>100</v>
      </c>
      <c r="N20" t="s">
        <v>824</v>
      </c>
    </row>
    <row r="21" spans="2:14" x14ac:dyDescent="0.25">
      <c r="B21" t="s">
        <v>99</v>
      </c>
      <c r="C21" t="s">
        <v>474</v>
      </c>
      <c r="D21" t="s">
        <v>474</v>
      </c>
      <c r="E21" t="s">
        <v>529</v>
      </c>
      <c r="F21" t="s">
        <v>583</v>
      </c>
      <c r="G21" t="s">
        <v>137</v>
      </c>
      <c r="H21" t="s">
        <v>622</v>
      </c>
      <c r="L21" t="s">
        <v>759</v>
      </c>
      <c r="M21" t="s">
        <v>475</v>
      </c>
      <c r="N21" t="s">
        <v>822</v>
      </c>
    </row>
    <row r="22" spans="2:14" x14ac:dyDescent="0.25">
      <c r="E22" t="s">
        <v>100</v>
      </c>
      <c r="G22" t="s">
        <v>528</v>
      </c>
      <c r="H22" t="s">
        <v>469</v>
      </c>
      <c r="J22" t="s">
        <v>669</v>
      </c>
      <c r="M22" t="s">
        <v>618</v>
      </c>
      <c r="N22" t="s">
        <v>825</v>
      </c>
    </row>
    <row r="23" spans="2:14" x14ac:dyDescent="0.25">
      <c r="B23" t="s">
        <v>101</v>
      </c>
      <c r="C23" t="s">
        <v>100</v>
      </c>
      <c r="D23" t="s">
        <v>100</v>
      </c>
      <c r="E23" t="s">
        <v>475</v>
      </c>
      <c r="H23" t="s">
        <v>623</v>
      </c>
      <c r="J23" t="s">
        <v>670</v>
      </c>
      <c r="M23" t="s">
        <v>101</v>
      </c>
      <c r="N23" t="s">
        <v>822</v>
      </c>
    </row>
    <row r="24" spans="2:14" x14ac:dyDescent="0.25">
      <c r="B24" t="s">
        <v>102</v>
      </c>
      <c r="C24" t="s">
        <v>475</v>
      </c>
      <c r="D24" t="s">
        <v>475</v>
      </c>
      <c r="E24" t="s">
        <v>101</v>
      </c>
      <c r="H24" t="s">
        <v>620</v>
      </c>
      <c r="J24" t="s">
        <v>671</v>
      </c>
      <c r="M24" t="s">
        <v>766</v>
      </c>
    </row>
    <row r="25" spans="2:14" x14ac:dyDescent="0.25">
      <c r="B25" t="s">
        <v>103</v>
      </c>
      <c r="C25" t="s">
        <v>101</v>
      </c>
      <c r="D25" t="s">
        <v>101</v>
      </c>
      <c r="E25" t="s">
        <v>530</v>
      </c>
      <c r="J25" t="s">
        <v>672</v>
      </c>
      <c r="M25" t="s">
        <v>767</v>
      </c>
    </row>
    <row r="26" spans="2:14" x14ac:dyDescent="0.25">
      <c r="B26" t="s">
        <v>104</v>
      </c>
      <c r="C26" t="s">
        <v>476</v>
      </c>
      <c r="D26" t="s">
        <v>485</v>
      </c>
      <c r="E26" t="s">
        <v>531</v>
      </c>
      <c r="J26" t="s">
        <v>673</v>
      </c>
      <c r="M26" t="s">
        <v>768</v>
      </c>
    </row>
    <row r="27" spans="2:14" x14ac:dyDescent="0.25">
      <c r="B27" t="s">
        <v>105</v>
      </c>
      <c r="C27" t="s">
        <v>477</v>
      </c>
      <c r="D27" t="s">
        <v>486</v>
      </c>
      <c r="E27" t="s">
        <v>532</v>
      </c>
      <c r="H27" t="s">
        <v>100</v>
      </c>
      <c r="J27" t="s">
        <v>674</v>
      </c>
      <c r="M27" t="s">
        <v>769</v>
      </c>
    </row>
    <row r="28" spans="2:14" x14ac:dyDescent="0.25">
      <c r="B28" t="s">
        <v>106</v>
      </c>
      <c r="C28" t="s">
        <v>478</v>
      </c>
      <c r="D28" t="s">
        <v>487</v>
      </c>
      <c r="E28" t="s">
        <v>533</v>
      </c>
      <c r="J28" t="s">
        <v>675</v>
      </c>
      <c r="M28" t="s">
        <v>770</v>
      </c>
    </row>
    <row r="29" spans="2:14" x14ac:dyDescent="0.25">
      <c r="B29" t="s">
        <v>107</v>
      </c>
      <c r="C29" t="s">
        <v>479</v>
      </c>
      <c r="D29" t="s">
        <v>488</v>
      </c>
      <c r="E29" t="s">
        <v>534</v>
      </c>
      <c r="J29" t="s">
        <v>676</v>
      </c>
      <c r="M29" t="s">
        <v>771</v>
      </c>
    </row>
    <row r="30" spans="2:14" x14ac:dyDescent="0.25">
      <c r="B30" t="s">
        <v>108</v>
      </c>
      <c r="C30" t="s">
        <v>480</v>
      </c>
      <c r="D30" t="s">
        <v>489</v>
      </c>
      <c r="E30" t="s">
        <v>535</v>
      </c>
      <c r="H30" t="s">
        <v>527</v>
      </c>
      <c r="J30" t="s">
        <v>677</v>
      </c>
      <c r="M30" t="s">
        <v>772</v>
      </c>
    </row>
    <row r="31" spans="2:14" x14ac:dyDescent="0.25">
      <c r="B31" t="s">
        <v>109</v>
      </c>
      <c r="C31" t="s">
        <v>481</v>
      </c>
      <c r="D31" t="s">
        <v>490</v>
      </c>
      <c r="E31" t="s">
        <v>536</v>
      </c>
      <c r="H31" t="s">
        <v>633</v>
      </c>
      <c r="J31" t="s">
        <v>678</v>
      </c>
      <c r="M31" t="s">
        <v>773</v>
      </c>
    </row>
    <row r="32" spans="2:14" x14ac:dyDescent="0.25">
      <c r="C32" t="s">
        <v>482</v>
      </c>
      <c r="D32" t="s">
        <v>491</v>
      </c>
      <c r="E32" t="s">
        <v>537</v>
      </c>
      <c r="J32" t="s">
        <v>679</v>
      </c>
      <c r="M32" t="s">
        <v>774</v>
      </c>
    </row>
    <row r="33" spans="2:13" x14ac:dyDescent="0.25">
      <c r="B33" t="s">
        <v>138</v>
      </c>
      <c r="C33" t="s">
        <v>483</v>
      </c>
      <c r="D33" t="s">
        <v>492</v>
      </c>
      <c r="E33" t="s">
        <v>538</v>
      </c>
      <c r="J33" t="s">
        <v>680</v>
      </c>
      <c r="M33" t="s">
        <v>775</v>
      </c>
    </row>
    <row r="34" spans="2:13" x14ac:dyDescent="0.25">
      <c r="E34" t="s">
        <v>539</v>
      </c>
      <c r="J34" t="s">
        <v>681</v>
      </c>
      <c r="M34" t="s">
        <v>776</v>
      </c>
    </row>
    <row r="35" spans="2:13" x14ac:dyDescent="0.25">
      <c r="E35" t="s">
        <v>540</v>
      </c>
      <c r="J35" t="s">
        <v>682</v>
      </c>
      <c r="M35" t="s">
        <v>777</v>
      </c>
    </row>
    <row r="36" spans="2:13" x14ac:dyDescent="0.25">
      <c r="E36" t="s">
        <v>541</v>
      </c>
      <c r="J36" t="s">
        <v>683</v>
      </c>
      <c r="M36" t="s">
        <v>778</v>
      </c>
    </row>
    <row r="37" spans="2:13" x14ac:dyDescent="0.25">
      <c r="E37" t="s">
        <v>542</v>
      </c>
      <c r="J37" t="s">
        <v>684</v>
      </c>
      <c r="M37" t="s">
        <v>779</v>
      </c>
    </row>
    <row r="38" spans="2:13" x14ac:dyDescent="0.25">
      <c r="J38" t="s">
        <v>685</v>
      </c>
      <c r="M38" t="s">
        <v>780</v>
      </c>
    </row>
    <row r="39" spans="2:13" x14ac:dyDescent="0.25">
      <c r="J39" t="s">
        <v>686</v>
      </c>
      <c r="M39" t="s">
        <v>781</v>
      </c>
    </row>
    <row r="40" spans="2:13" x14ac:dyDescent="0.25">
      <c r="J40" t="s">
        <v>687</v>
      </c>
      <c r="M40" t="s">
        <v>782</v>
      </c>
    </row>
    <row r="41" spans="2:13" x14ac:dyDescent="0.25">
      <c r="J41" t="s">
        <v>688</v>
      </c>
      <c r="M41" t="s">
        <v>783</v>
      </c>
    </row>
    <row r="42" spans="2:13" x14ac:dyDescent="0.25">
      <c r="J42" t="s">
        <v>689</v>
      </c>
    </row>
    <row r="43" spans="2:13" x14ac:dyDescent="0.25">
      <c r="J43" t="s">
        <v>690</v>
      </c>
    </row>
    <row r="44" spans="2:13" x14ac:dyDescent="0.25">
      <c r="J44" t="s">
        <v>691</v>
      </c>
    </row>
    <row r="45" spans="2:13" x14ac:dyDescent="0.25">
      <c r="J45" t="s">
        <v>692</v>
      </c>
    </row>
    <row r="46" spans="2:13" x14ac:dyDescent="0.25">
      <c r="J46" t="s">
        <v>693</v>
      </c>
    </row>
    <row r="47" spans="2:13" x14ac:dyDescent="0.25">
      <c r="J47" t="s">
        <v>694</v>
      </c>
    </row>
    <row r="48" spans="2:13" x14ac:dyDescent="0.25">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128</v>
      </c>
      <c r="B1" t="s">
        <v>237</v>
      </c>
      <c r="C1" t="s">
        <v>585</v>
      </c>
      <c r="D1" t="s">
        <v>626</v>
      </c>
    </row>
    <row r="3" spans="1:16" s="62" customFormat="1" x14ac:dyDescent="0.25">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25">
      <c r="B4" t="s">
        <v>238</v>
      </c>
      <c r="C4" t="s">
        <v>597</v>
      </c>
      <c r="D4" t="s">
        <v>597</v>
      </c>
    </row>
    <row r="5" spans="1:16" x14ac:dyDescent="0.25">
      <c r="B5" t="s">
        <v>239</v>
      </c>
      <c r="C5" t="s">
        <v>625</v>
      </c>
      <c r="D5" t="s">
        <v>629</v>
      </c>
    </row>
    <row r="6" spans="1:16" x14ac:dyDescent="0.25">
      <c r="B6" t="s">
        <v>240</v>
      </c>
      <c r="D6" t="s">
        <v>706</v>
      </c>
    </row>
    <row r="7" spans="1:16" x14ac:dyDescent="0.25">
      <c r="B7" t="s">
        <v>241</v>
      </c>
    </row>
    <row r="8" spans="1:16" x14ac:dyDescent="0.25">
      <c r="B8" t="s">
        <v>242</v>
      </c>
    </row>
    <row r="14" spans="1:16" s="62" customFormat="1" x14ac:dyDescent="0.25">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25">
      <c r="B15" t="s">
        <v>243</v>
      </c>
      <c r="C15" t="s">
        <v>83</v>
      </c>
    </row>
    <row r="16" spans="1:16" s="62" customFormat="1" x14ac:dyDescent="0.25">
      <c r="B16" t="s">
        <v>244</v>
      </c>
      <c r="C16" t="s">
        <v>624</v>
      </c>
    </row>
    <row r="17" spans="1:16" s="62" customFormat="1" x14ac:dyDescent="0.25">
      <c r="B17" t="s">
        <v>245</v>
      </c>
    </row>
    <row r="18" spans="1:16" s="62" customFormat="1" x14ac:dyDescent="0.25">
      <c r="B18" t="s">
        <v>246</v>
      </c>
    </row>
    <row r="19" spans="1:16" s="62" customFormat="1" x14ac:dyDescent="0.25">
      <c r="B19" t="s">
        <v>247</v>
      </c>
    </row>
    <row r="25" spans="1:16" s="62" customFormat="1" x14ac:dyDescent="0.25">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25">
      <c r="B26" t="s">
        <v>248</v>
      </c>
      <c r="C26" t="s">
        <v>599</v>
      </c>
      <c r="D26" t="s">
        <v>599</v>
      </c>
    </row>
    <row r="27" spans="1:16" s="62" customFormat="1" x14ac:dyDescent="0.25">
      <c r="B27" t="s">
        <v>249</v>
      </c>
      <c r="C27" t="s">
        <v>625</v>
      </c>
      <c r="D27" t="s">
        <v>643</v>
      </c>
    </row>
    <row r="28" spans="1:16" s="62" customFormat="1" x14ac:dyDescent="0.25">
      <c r="B28" t="s">
        <v>250</v>
      </c>
      <c r="D28"/>
    </row>
    <row r="29" spans="1:16" s="62" customFormat="1" x14ac:dyDescent="0.25">
      <c r="B29" t="s">
        <v>251</v>
      </c>
      <c r="D29"/>
    </row>
    <row r="30" spans="1:16" s="62" customFormat="1" x14ac:dyDescent="0.25">
      <c r="B30" t="s">
        <v>252</v>
      </c>
    </row>
    <row r="36" spans="1:16" s="62" customFormat="1" x14ac:dyDescent="0.25">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25">
      <c r="B37" t="s">
        <v>253</v>
      </c>
      <c r="C37" t="s">
        <v>83</v>
      </c>
    </row>
    <row r="38" spans="1:16" s="62" customFormat="1" x14ac:dyDescent="0.25">
      <c r="B38" t="s">
        <v>254</v>
      </c>
      <c r="C38" t="s">
        <v>624</v>
      </c>
    </row>
    <row r="39" spans="1:16" s="62" customFormat="1" x14ac:dyDescent="0.25">
      <c r="B39" t="s">
        <v>255</v>
      </c>
    </row>
    <row r="40" spans="1:16" s="62" customFormat="1" x14ac:dyDescent="0.25">
      <c r="B40" t="s">
        <v>256</v>
      </c>
    </row>
    <row r="41" spans="1:16" s="62" customFormat="1" x14ac:dyDescent="0.25">
      <c r="B41" t="s">
        <v>257</v>
      </c>
    </row>
    <row r="47" spans="1:16" s="62" customFormat="1" x14ac:dyDescent="0.25">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25">
      <c r="B48" t="s">
        <v>259</v>
      </c>
      <c r="D48" t="s">
        <v>642</v>
      </c>
    </row>
    <row r="49" spans="1:16" s="62" customFormat="1" x14ac:dyDescent="0.25">
      <c r="B49" t="s">
        <v>258</v>
      </c>
      <c r="D49" t="s">
        <v>705</v>
      </c>
    </row>
    <row r="50" spans="1:16" s="62" customFormat="1" x14ac:dyDescent="0.25">
      <c r="B50" t="s">
        <v>260</v>
      </c>
      <c r="D50" t="s">
        <v>706</v>
      </c>
    </row>
    <row r="51" spans="1:16" s="62" customFormat="1" x14ac:dyDescent="0.25">
      <c r="B51" t="s">
        <v>261</v>
      </c>
      <c r="D51"/>
    </row>
    <row r="52" spans="1:16" s="62" customFormat="1" x14ac:dyDescent="0.25">
      <c r="B52" t="s">
        <v>262</v>
      </c>
      <c r="D52"/>
    </row>
    <row r="58" spans="1:16" s="62" customFormat="1" x14ac:dyDescent="0.25">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25">
      <c r="B59" t="s">
        <v>263</v>
      </c>
    </row>
    <row r="60" spans="1:16" s="62" customFormat="1" x14ac:dyDescent="0.25">
      <c r="B60" t="s">
        <v>264</v>
      </c>
    </row>
    <row r="61" spans="1:16" s="62" customFormat="1" x14ac:dyDescent="0.25">
      <c r="B61" t="s">
        <v>265</v>
      </c>
    </row>
    <row r="62" spans="1:16" s="62" customFormat="1" x14ac:dyDescent="0.25">
      <c r="B62" t="s">
        <v>266</v>
      </c>
    </row>
    <row r="63" spans="1:16" s="62" customFormat="1" x14ac:dyDescent="0.25">
      <c r="B63" t="s">
        <v>267</v>
      </c>
    </row>
    <row r="69" spans="1:16" s="62" customFormat="1" x14ac:dyDescent="0.25">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25">
      <c r="B70" t="s">
        <v>268</v>
      </c>
    </row>
    <row r="71" spans="1:16" s="62" customFormat="1" x14ac:dyDescent="0.25">
      <c r="B71" t="s">
        <v>269</v>
      </c>
      <c r="D71"/>
    </row>
    <row r="72" spans="1:16" s="62" customFormat="1" x14ac:dyDescent="0.25">
      <c r="B72" t="s">
        <v>270</v>
      </c>
      <c r="D72"/>
    </row>
    <row r="73" spans="1:16" s="62" customFormat="1" x14ac:dyDescent="0.25">
      <c r="B73" t="s">
        <v>271</v>
      </c>
      <c r="D73"/>
    </row>
    <row r="74" spans="1:16" s="62" customFormat="1" x14ac:dyDescent="0.25">
      <c r="B74" t="s">
        <v>272</v>
      </c>
    </row>
    <row r="80" spans="1:16" s="62" customFormat="1" x14ac:dyDescent="0.25">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25">
      <c r="B81" t="s">
        <v>273</v>
      </c>
    </row>
    <row r="82" spans="2:2" s="62" customFormat="1" x14ac:dyDescent="0.25">
      <c r="B82" t="s">
        <v>274</v>
      </c>
    </row>
    <row r="83" spans="2:2" s="62" customFormat="1" x14ac:dyDescent="0.25">
      <c r="B83" t="s">
        <v>275</v>
      </c>
    </row>
    <row r="84" spans="2:2" s="62" customFormat="1" x14ac:dyDescent="0.25">
      <c r="B84" t="s">
        <v>276</v>
      </c>
    </row>
    <row r="85" spans="2:2" s="62" customFormat="1" x14ac:dyDescent="0.25">
      <c r="B85" t="s">
        <v>277</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election sqref="A1:A1048576"/>
    </sheetView>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858</v>
      </c>
    </row>
    <row r="2" spans="1:1" x14ac:dyDescent="0.25">
      <c r="A2" s="89" t="s">
        <v>857</v>
      </c>
    </row>
    <row r="6" spans="1:1" x14ac:dyDescent="0.25">
      <c r="A6" s="147" t="s">
        <v>871</v>
      </c>
    </row>
    <row r="7" spans="1:1" x14ac:dyDescent="0.25">
      <c r="A7" t="s">
        <v>874</v>
      </c>
    </row>
    <row r="8" spans="1:1" x14ac:dyDescent="0.25">
      <c r="A8" t="s">
        <v>875</v>
      </c>
    </row>
    <row r="15" spans="1:1" x14ac:dyDescent="0.25">
      <c r="A15" t="s">
        <v>872</v>
      </c>
    </row>
    <row r="16" spans="1:1" x14ac:dyDescent="0.25">
      <c r="A16" t="s">
        <v>865</v>
      </c>
    </row>
    <row r="17" spans="1:1" x14ac:dyDescent="0.25">
      <c r="A17" t="s">
        <v>869</v>
      </c>
    </row>
    <row r="18" spans="1:1" x14ac:dyDescent="0.25">
      <c r="A18" t="s">
        <v>866</v>
      </c>
    </row>
    <row r="20" spans="1:1" x14ac:dyDescent="0.25">
      <c r="A20" t="s">
        <v>870</v>
      </c>
    </row>
    <row r="24" spans="1:1" x14ac:dyDescent="0.25">
      <c r="A24" t="s">
        <v>873</v>
      </c>
    </row>
    <row r="25" spans="1:1" x14ac:dyDescent="0.25">
      <c r="A25" t="s">
        <v>856</v>
      </c>
    </row>
    <row r="26" spans="1:1" x14ac:dyDescent="0.25">
      <c r="A26" t="s">
        <v>712</v>
      </c>
    </row>
    <row r="27" spans="1:1" x14ac:dyDescent="0.25">
      <c r="A27" t="s">
        <v>855</v>
      </c>
    </row>
    <row r="28" spans="1:1" x14ac:dyDescent="0.25">
      <c r="A28" t="s">
        <v>854</v>
      </c>
    </row>
    <row r="30" spans="1:1" x14ac:dyDescent="0.25">
      <c r="A30" t="s">
        <v>870</v>
      </c>
    </row>
    <row r="34" spans="1:1" x14ac:dyDescent="0.25">
      <c r="A34" t="s">
        <v>850</v>
      </c>
    </row>
    <row r="35" spans="1:1" x14ac:dyDescent="0.25">
      <c r="A35" t="s">
        <v>851</v>
      </c>
    </row>
    <row r="37" spans="1:1" x14ac:dyDescent="0.25">
      <c r="A37" t="s">
        <v>870</v>
      </c>
    </row>
    <row r="41" spans="1:1" x14ac:dyDescent="0.25">
      <c r="A41" t="s">
        <v>852</v>
      </c>
    </row>
    <row r="42" spans="1:1" x14ac:dyDescent="0.25">
      <c r="A42" t="s">
        <v>853</v>
      </c>
    </row>
  </sheetData>
  <phoneticPr fontId="9"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customUI>
</file>

<file path=customUI/customUI14.xml><?xml version="1.0" encoding="utf-8"?>
<customUI xmlns="http://schemas.microsoft.com/office/2009/07/customui">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2021-07-02T13:44:18Z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